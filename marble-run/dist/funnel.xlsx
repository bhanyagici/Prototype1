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unnel" sheetId="1" state="visible" r:id="rId3"/>
    <sheet name="Curve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<sst xmlns="http://schemas.openxmlformats.org/spreadsheetml/2006/main" count="482" uniqueCount="278">
  <si>
    <t xml:space="preserve">Level</t>
  </si>
  <si>
    <t xml:space="preserve">Id</t>
  </si>
  <si>
    <t xml:space="preserve">Role</t>
  </si>
  <si>
    <t xml:space="preserve">Lanes</t>
  </si>
  <si>
    <t xml:space="preserve">Target diff</t>
  </si>
  <si>
    <t xml:space="preserve">Band low</t>
  </si>
  <si>
    <t xml:space="preserve">Band high</t>
  </si>
  <si>
    <t xml:space="preserve">Random win rate</t>
  </si>
  <si>
    <t xml:space="preserve">Measured diff</t>
  </si>
  <si>
    <t xml:space="preserve">In band</t>
  </si>
  <si>
    <t xml:space="preserve">Trays (columns x rows)</t>
  </si>
  <si>
    <t xml:space="preserve">Trays</t>
  </si>
  <si>
    <t xml:space="preserve">Colours</t>
  </si>
  <si>
    <t xml:space="preserve">Marbles</t>
  </si>
  <si>
    <t xml:space="preserve">Marbles per colour</t>
  </si>
  <si>
    <t xml:space="preserve">Boxes 4</t>
  </si>
  <si>
    <t xml:space="preserve">Boxes 6</t>
  </si>
  <si>
    <t xml:space="preserve">Boxes 8</t>
  </si>
  <si>
    <t xml:space="preserve">Boxes 12</t>
  </si>
  <si>
    <t xml:space="preserve">Boxes total</t>
  </si>
  <si>
    <t xml:space="preserve">Blockers</t>
  </si>
  <si>
    <t xml:space="preserve">Tutorial / popup</t>
  </si>
  <si>
    <t xml:space="preserve">Slide shape</t>
  </si>
  <si>
    <t xml:space="preserve">Tray shape</t>
  </si>
  <si>
    <t xml:space="preserve">Greedy 1x (s)</t>
  </si>
  <si>
    <t xml:space="preserve">Greedy 2x (s)</t>
  </si>
  <si>
    <t xml:space="preserve">Random wins</t>
  </si>
  <si>
    <t xml:space="preserve">Random fails</t>
  </si>
  <si>
    <t xml:space="preserve">Random unfinished</t>
  </si>
  <si>
    <t xml:space="preserve">Tray changes (did not fit as asked)</t>
  </si>
  <si>
    <t xml:space="preserve">f01</t>
  </si>
  <si>
    <t xml:space="preserve">Tutorial</t>
  </si>
  <si>
    <t xml:space="preserve">4x4</t>
  </si>
  <si>
    <t xml:space="preserve">red 8, blue 8</t>
  </si>
  <si>
    <t xml:space="preserve">-</t>
  </si>
  <si>
    <t xml:space="preserve">Tutorial: hand pointer, first sends</t>
  </si>
  <si>
    <t xml:space="preserve">a short S-curve</t>
  </si>
  <si>
    <t xml:space="preserve">one tray (built: default (35 deg))</t>
  </si>
  <si>
    <t xml:space="preserve">f02</t>
  </si>
  <si>
    <t xml:space="preserve">Teach</t>
  </si>
  <si>
    <t xml:space="preserve">3x4, 3x4</t>
  </si>
  <si>
    <t xml:space="preserve">red 8, yellow 8, blue 8</t>
  </si>
  <si>
    <t xml:space="preserve">the spiral early</t>
  </si>
  <si>
    <t xml:space="preserve">two small trays (built: default (35 deg))</t>
  </si>
  <si>
    <t xml:space="preserve">f03</t>
  </si>
  <si>
    <t xml:space="preserve">Tutorial (box waits)</t>
  </si>
  <si>
    <t xml:space="preserve">4x4, 4x4</t>
  </si>
  <si>
    <t xml:space="preserve">red 8, yellow 16, blue 8</t>
  </si>
  <si>
    <t xml:space="preserve">Tutorial: a box waits in its slot</t>
  </si>
  <si>
    <t xml:space="preserve">winding</t>
  </si>
  <si>
    <t xml:space="preserve">two trays, one each side (built: default (35 deg), turned)</t>
  </si>
  <si>
    <t xml:space="preserve">tray 2: shape tilt did not fit, built as diag</t>
  </si>
  <si>
    <t xml:space="preserve">f04</t>
  </si>
  <si>
    <t xml:space="preserve">Teach (box sizes)</t>
  </si>
  <si>
    <t xml:space="preserve">3x6, 3x6</t>
  </si>
  <si>
    <t xml:space="preserve">red 8, yellow 8, green 8, blue 12</t>
  </si>
  <si>
    <t xml:space="preserve">S-curve</t>
  </si>
  <si>
    <t xml:space="preserve">two deep trays (built: default (35 deg), tilted 55 deg)</t>
  </si>
  <si>
    <t xml:space="preserve">tray 2: shape tilt did not fit, built as tilt 55</t>
  </si>
  <si>
    <t xml:space="preserve">f05</t>
  </si>
  <si>
    <t xml:space="preserve">Fun</t>
  </si>
  <si>
    <t xml:space="preserve">3x6, 3x6, 3x6</t>
  </si>
  <si>
    <t xml:space="preserve">red 12, yellow 16, green 12, blue 12</t>
  </si>
  <si>
    <t xml:space="preserve">the first big spiral</t>
  </si>
  <si>
    <t xml:space="preserve">three trays around the spiral (built: default (35 deg), turned)</t>
  </si>
  <si>
    <t xml:space="preserve">tray 3: shape tilt did not fit, built as diag</t>
  </si>
  <si>
    <t xml:space="preserve">f06</t>
  </si>
  <si>
    <t xml:space="preserve">Challenge</t>
  </si>
  <si>
    <t xml:space="preserve">3x5, 3x5, 3x5, 3x5</t>
  </si>
  <si>
    <t xml:space="preserve">red 12, yellow 10, green 12, blue 16, purple 10</t>
  </si>
  <si>
    <t xml:space="preserve">hairpin</t>
  </si>
  <si>
    <t xml:space="preserve">four trays, two each side (built: default (35 deg), turned)</t>
  </si>
  <si>
    <t xml:space="preserve">tray 2: shape tilt did not fit, built as diag; tray 3: shape tilt did not fit, built as diag; tray 4: shape tilt did not fit, built as diag</t>
  </si>
  <si>
    <t xml:space="preserve">f07</t>
  </si>
  <si>
    <t xml:space="preserve">Teach + POPUP</t>
  </si>
  <si>
    <t xml:space="preserve">red 12, yellow 12, green 16, blue 12</t>
  </si>
  <si>
    <t xml:space="preserve">5 hidden boxes</t>
  </si>
  <si>
    <t xml:space="preserve">Intro popup: Hidden Box</t>
  </si>
  <si>
    <t xml:space="preserve">three trays (built: default (35 deg), tilted 55 deg, turned)</t>
  </si>
  <si>
    <t xml:space="preserve">tray 2: shape tilt did not fit, built as tilt 55; tray 3: shape tilt did not fit, built as diag</t>
  </si>
  <si>
    <t xml:space="preserve">f08</t>
  </si>
  <si>
    <t xml:space="preserve">Practice</t>
  </si>
  <si>
    <t xml:space="preserve">red 16, yellow 10, green 14, blue 10, purple 10</t>
  </si>
  <si>
    <t xml:space="preserve">2 hidden boxes</t>
  </si>
  <si>
    <t xml:space="preserve">zig-zag</t>
  </si>
  <si>
    <t xml:space="preserve">four trays at the turns (built: default (35 deg), tilted 55 deg, turned)</t>
  </si>
  <si>
    <t xml:space="preserve">tray 3: shape tilt did not fit, built as tilt 55; tray 4: shape tilt did not fit, built as diag</t>
  </si>
  <si>
    <t xml:space="preserve">f09</t>
  </si>
  <si>
    <t xml:space="preserve">Relax</t>
  </si>
  <si>
    <t xml:space="preserve">red 14, yellow 12, green 14, blue 14</t>
  </si>
  <si>
    <t xml:space="preserve">three trays (built: default (35 deg), turned)</t>
  </si>
  <si>
    <t xml:space="preserve">f10</t>
  </si>
  <si>
    <t xml:space="preserve">Milestone</t>
  </si>
  <si>
    <t xml:space="preserve">3x6, 3x6, 3x6, 3x6</t>
  </si>
  <si>
    <t xml:space="preserve">red 12, orange 14, yellow 10, green 12, blue 14, purple 10</t>
  </si>
  <si>
    <t xml:space="preserve">3 hidden boxes</t>
  </si>
  <si>
    <t xml:space="preserve">a meander with a spiral</t>
  </si>
  <si>
    <t xml:space="preserve">four trays (built: default (35 deg), turned)</t>
  </si>
  <si>
    <t xml:space="preserve">tray 1: shape tilt did not fit, built as diag; tray 2: shape tilt did not fit, built as diag; tray 4: shape tilt did not fit, built as diag</t>
  </si>
  <si>
    <t xml:space="preserve">f11</t>
  </si>
  <si>
    <t xml:space="preserve">spiral</t>
  </si>
  <si>
    <t xml:space="preserve">three trays square to the slide (built: turned)</t>
  </si>
  <si>
    <t xml:space="preserve">f12</t>
  </si>
  <si>
    <t xml:space="preserve">3x7, 3x7, 3x7, 3x7</t>
  </si>
  <si>
    <t xml:space="preserve">red 12, orange 16, yellow 10, green 16, blue 18, purple 12</t>
  </si>
  <si>
    <t xml:space="preserve">four deeper trays (built: default (35 deg), turned)</t>
  </si>
  <si>
    <t xml:space="preserve">tray 3: shape tilt did not fit, built as diag; tray 4: shape tilt did not fit, built as diag</t>
  </si>
  <si>
    <t xml:space="preserve">f13</t>
  </si>
  <si>
    <t xml:space="preserve">red 12, yellow 10, green 12, blue 12, purple 14</t>
  </si>
  <si>
    <t xml:space="preserve">4 connected pairs</t>
  </si>
  <si>
    <t xml:space="preserve">Intro popup: Connected Boxes</t>
  </si>
  <si>
    <t xml:space="preserve">f14</t>
  </si>
  <si>
    <t xml:space="preserve">red 12, orange 14, yellow 14, green 10, blue 14, purple 8</t>
  </si>
  <si>
    <t xml:space="preserve">5 connected pairs</t>
  </si>
  <si>
    <t xml:space="preserve">four trays (built: default (35 deg), tilted 55 deg, turned)</t>
  </si>
  <si>
    <t xml:space="preserve">tray 2: shape tilt did not fit, built as tilt 55; tray 3: shape tilt did not fit, built as diag; tray 4: shape tilt did not fit, built as diag; meander seed 308</t>
  </si>
  <si>
    <t xml:space="preserve">f15</t>
  </si>
  <si>
    <t xml:space="preserve">red 12, yellow 16, green 16, blue 12, purple 16</t>
  </si>
  <si>
    <t xml:space="preserve">four trays, big boxes (built: default (35 deg), turned)</t>
  </si>
  <si>
    <t xml:space="preserve">f16</t>
  </si>
  <si>
    <t xml:space="preserve">red 10, orange 14, yellow 12, green 12, cyan 12, blue 12, purple 12</t>
  </si>
  <si>
    <t xml:space="preserve">2 hidden boxes, 5 connected pairs</t>
  </si>
  <si>
    <t xml:space="preserve">f17</t>
  </si>
  <si>
    <t xml:space="preserve">Teach (no popup, short hint)</t>
  </si>
  <si>
    <t xml:space="preserve">red 14, yellow 14, green 16, blue 14, purple 14</t>
  </si>
  <si>
    <t xml:space="preserve">3 connected triples</t>
  </si>
  <si>
    <t xml:space="preserve">Short hint: triple connected boxes</t>
  </si>
  <si>
    <t xml:space="preserve">f18</t>
  </si>
  <si>
    <t xml:space="preserve">red 12, yellow 8, green 14, blue 12, purple 14</t>
  </si>
  <si>
    <t xml:space="preserve">square trays at the turns (built: turned)</t>
  </si>
  <si>
    <t xml:space="preserve">f19</t>
  </si>
  <si>
    <t xml:space="preserve">red 14, orange 16, yellow 16, green 12, blue 10, purple 16</t>
  </si>
  <si>
    <t xml:space="preserve">1 connected pair, 3 connected triples</t>
  </si>
  <si>
    <t xml:space="preserve">four deeper trays (built: default (35 deg), tilted 55 deg, turned)</t>
  </si>
  <si>
    <t xml:space="preserve">tray 3: shape tilt did not fit, built as tilt 55; tray 4: shape tilt did not fit, built as diag; meander seed 108</t>
  </si>
  <si>
    <t xml:space="preserve">f20</t>
  </si>
  <si>
    <t xml:space="preserve">3x8, 3x8, 3x8, 3x8</t>
  </si>
  <si>
    <t xml:space="preserve">red 12, orange 14, yellow 14, green 14, cyan 14, blue 14, purple 14</t>
  </si>
  <si>
    <t xml:space="preserve">2 hidden boxes, 2 connected pairs, 3 connected triples</t>
  </si>
  <si>
    <t xml:space="preserve">four deep trays (built: default (35 deg), tilted 55 deg, turned)</t>
  </si>
  <si>
    <t xml:space="preserve">tray 2: shape tilt did not fit, built as tilt 55; tray 3: shape tilt did not fit, built as diag; tray 4: shape tilt did not fit, built as diag</t>
  </si>
  <si>
    <t xml:space="preserve">f21</t>
  </si>
  <si>
    <t xml:space="preserve">Teach (combo, no popup)</t>
  </si>
  <si>
    <t xml:space="preserve">red 10, orange 14, yellow 12, green 14, blue 10, purple 12</t>
  </si>
  <si>
    <t xml:space="preserve">3 hidden boxes, 3 connected pairs</t>
  </si>
  <si>
    <t xml:space="preserve">f22</t>
  </si>
  <si>
    <t xml:space="preserve">Relax + POPUP</t>
  </si>
  <si>
    <t xml:space="preserve">red 8, yellow 8, green 8, blue 16, purple 12</t>
  </si>
  <si>
    <t xml:space="preserve">10 hidden marbles</t>
  </si>
  <si>
    <t xml:space="preserve">Intro popup: Hidden Marbles</t>
  </si>
  <si>
    <t xml:space="preserve">f23</t>
  </si>
  <si>
    <t xml:space="preserve">red 12, orange 12, yellow 14, green 10, cyan 12, blue 10, purple 14</t>
  </si>
  <si>
    <t xml:space="preserve">3 hidden boxes, 4 connected pairs, 5 hidden marbles</t>
  </si>
  <si>
    <t xml:space="preserve">f24</t>
  </si>
  <si>
    <t xml:space="preserve">red 12, orange 16, yellow 12, green 12, blue 16, purple 16</t>
  </si>
  <si>
    <t xml:space="preserve">2 connected pairs</t>
  </si>
  <si>
    <t xml:space="preserve">f25</t>
  </si>
  <si>
    <t xml:space="preserve">red 12, orange 16, yellow 10, green 16, cyan 16, blue 14, purple 12</t>
  </si>
  <si>
    <t xml:space="preserve">3 hidden boxes, 2 connected triples, 12 hidden marbles</t>
  </si>
  <si>
    <t xml:space="preserve">four deep trays (built: default (35 deg), turned)</t>
  </si>
  <si>
    <t xml:space="preserve">tray 4: shape tilt did not fit, built as diag</t>
  </si>
  <si>
    <t xml:space="preserve">f26</t>
  </si>
  <si>
    <t xml:space="preserve">red 14, orange 14, yellow 12, green 8, blue 12, purple 12</t>
  </si>
  <si>
    <t xml:space="preserve">dispenser (red, 6), dispenser (purple, 6), dispenser (yellow, 6)</t>
  </si>
  <si>
    <t xml:space="preserve">Intro popup: Marble Dispenser</t>
  </si>
  <si>
    <t xml:space="preserve">f27</t>
  </si>
  <si>
    <t xml:space="preserve">red 14, orange 14, yellow 12, green 16, blue 14, purple 14</t>
  </si>
  <si>
    <t xml:space="preserve">2 hidden boxes, dispenser (purple, 8), dispenser (red, 8)</t>
  </si>
  <si>
    <t xml:space="preserve">f28</t>
  </si>
  <si>
    <t xml:space="preserve">red 16, yellow 12, green 16, blue 16, purple 12</t>
  </si>
  <si>
    <t xml:space="preserve">dispenser (red, 6), dispenser (blue, 6)</t>
  </si>
  <si>
    <t xml:space="preserve">f29</t>
  </si>
  <si>
    <t xml:space="preserve">3x8, 3x8, 3x8, 4x6</t>
  </si>
  <si>
    <t xml:space="preserve">red 18, orange 12, yellow 14, green 14, cyan 12, blue 16, purple 10</t>
  </si>
  <si>
    <t xml:space="preserve">2 hidden boxes, 4 connected pairs, dispenser (green, 8), dispenser (blue, 8)</t>
  </si>
  <si>
    <t xml:space="preserve">tray 2: shape tilt did not fit, built as diag; tray 3: shape tilt did not fit, built as diag; tray 4: 3x8 did not fit, built as 4x6; meander seed 112</t>
  </si>
  <si>
    <t xml:space="preserve">f30</t>
  </si>
  <si>
    <t xml:space="preserve">red 10, orange 10, yellow 14, green 14, cyan 10, blue 10, purple 16, pink 12</t>
  </si>
  <si>
    <t xml:space="preserve">3 hidden boxes, 3 connected triples, dispenser (green, 8), dispenser (red, 8)</t>
  </si>
  <si>
    <t xml:space="preserve">f31</t>
  </si>
  <si>
    <t xml:space="preserve">red 12, yellow 16, green 16, blue 16, purple 12</t>
  </si>
  <si>
    <t xml:space="preserve">square trays (built: turned)</t>
  </si>
  <si>
    <t xml:space="preserve">tray 4: shape perp did not fit, built as diag</t>
  </si>
  <si>
    <t xml:space="preserve">f32</t>
  </si>
  <si>
    <t xml:space="preserve">red 14, orange 12, yellow 12, green 14, blue 8, purple 12</t>
  </si>
  <si>
    <t xml:space="preserve">2 lock crates &amp; keys</t>
  </si>
  <si>
    <t xml:space="preserve">Intro popup: Lock &amp; Key</t>
  </si>
  <si>
    <t xml:space="preserve">f33</t>
  </si>
  <si>
    <t xml:space="preserve">red 14, orange 14, yellow 10, green 12, cyan 10, blue 10, purple 14</t>
  </si>
  <si>
    <t xml:space="preserve">2 hidden boxes, 2 lock crates &amp; keys, count crate (3)</t>
  </si>
  <si>
    <t xml:space="preserve">f34</t>
  </si>
  <si>
    <t xml:space="preserve">red 16, orange 16, yellow 12, green 12, blue 16, purple 12</t>
  </si>
  <si>
    <t xml:space="preserve">4 connected pairs, dispenser (green, 6), dispenser (purple, 6)</t>
  </si>
  <si>
    <t xml:space="preserve">four trays, big boxes (built: default (35 deg), tilted 55 deg, turned)</t>
  </si>
  <si>
    <t xml:space="preserve">f35</t>
  </si>
  <si>
    <t xml:space="preserve">red 12, orange 14, yellow 16, green 16, cyan 12, blue 10, purple 16</t>
  </si>
  <si>
    <t xml:space="preserve">2 hidden boxes, 6 connected pairs, 2 lock crates &amp; keys</t>
  </si>
  <si>
    <t xml:space="preserve">tray 1: shape tilt did not fit, built as tilt 55; tray 2: shape tilt did not fit, built as tilt 55; tray 3: shape tilt did not fit, built as diag; tray 4: 3x8 did not fit, built as 4x6; meander seed 114</t>
  </si>
  <si>
    <t xml:space="preserve">f36</t>
  </si>
  <si>
    <t xml:space="preserve">red 14, orange 12, yellow 12, green 12, blue 8, purple 14</t>
  </si>
  <si>
    <t xml:space="preserve">1 hidden box, lock crate &amp; key, count crate (2)</t>
  </si>
  <si>
    <t xml:space="preserve">f37</t>
  </si>
  <si>
    <t xml:space="preserve">red 14, orange 12, yellow 14, green 16, cyan 16, blue 14, purple 10</t>
  </si>
  <si>
    <t xml:space="preserve">3 hidden boxes, 3 connected pairs, 8 hidden marbles, dispenser (blue, 8), dispenser (red, 8)</t>
  </si>
  <si>
    <t xml:space="preserve">f38</t>
  </si>
  <si>
    <t xml:space="preserve">red 16, orange 12, yellow 12, green 14, cyan 14, blue 10, purple 8, pink 10</t>
  </si>
  <si>
    <t xml:space="preserve">2 hidden boxes, 3 connected pairs, dispenser (cyan, 8), 2 lock crates &amp; keys</t>
  </si>
  <si>
    <t xml:space="preserve">f39</t>
  </si>
  <si>
    <t xml:space="preserve">red 12, orange 12, yellow 16, green 16, cyan 12, blue 16, purple 12</t>
  </si>
  <si>
    <t xml:space="preserve">4 connected pairs, dispenser (orange, 6), dispenser (orange, 6)</t>
  </si>
  <si>
    <t xml:space="preserve">four deep trays, big boxes (built: default (35 deg), turned)</t>
  </si>
  <si>
    <t xml:space="preserve">f40</t>
  </si>
  <si>
    <t xml:space="preserve">Finale</t>
  </si>
  <si>
    <t xml:space="preserve">red 12, orange 12, yellow 14, green 8, cyan 14, blue 10, purple 14, pink 12</t>
  </si>
  <si>
    <t xml:space="preserve">3 hidden boxes, 3 connected pairs, 3 connected triples, dispenser (blue, 8), dispenser (yellow, 8), lock crate &amp; key, count crate (3)</t>
  </si>
  <si>
    <t xml:space="preserve">four deep trays, every blocker (built: default (35 deg), tilted 55 deg, turned)</t>
  </si>
  <si>
    <t xml:space="preserve">Total</t>
  </si>
  <si>
    <t xml:space="preserve">Target diff and band: the design table (random-bot win rate band per difficulty: 1-2 &gt;= 70%, 3: 55-75%, 4: 45-60%, 5: 35-50%, 6: 25-40%, 7: 18-30%, 8: 12-22%, 9: 8-15%).</t>
  </si>
  <si>
    <t xml:space="preserve">Random bot: 200 games per level (seeds 1000-1199), a uniformly random legal send (a front box to a free slot) every 0.4 s of game time. Win rate = wins / games.</t>
  </si>
  <si>
    <t xml:space="preserve">Random fails: Out of Space - all 5 slots hold boxes, nothing is moving and no tray front can go to any of them. Unfinished: no result after 1500 game seconds. Unfinished games count as not won.</t>
  </si>
  <si>
    <t xml:space="preserve">Measured diff: the win rate placed on the difficulty scale on the Summary sheet (straight-line between band centres).</t>
  </si>
  <si>
    <t xml:space="preserve">Greedy 1x: game seconds for the greedy bot (sends the box that gets the most marbles at once, waits while marbles are moving when nothing gains). 2x = the same game at double speed.</t>
  </si>
  <si>
    <t xml:space="preserve">Levels 1-5 cannot be lost (no fail before level 6): each was played 1000 times by the random bot and 6 times by an adversarial bot without a loss. That puts levels 3 and 4 above their bands.</t>
  </si>
  <si>
    <t xml:space="preserve">Lanes: box lanes (2-5). Challenge, Milestone, Finale and Practice levels must land in their band; Relax, Fun and Teach levels may be easier.</t>
  </si>
  <si>
    <t xml:space="preserve">Out of band, closest version kept: none.</t>
  </si>
  <si>
    <t xml:space="preserve">Marble Run - 40-level funnel</t>
  </si>
  <si>
    <t xml:space="preserve">Playtime (greedy bot)</t>
  </si>
  <si>
    <t xml:space="preserve">Seconds</t>
  </si>
  <si>
    <t xml:space="preserve">Minutes</t>
  </si>
  <si>
    <t xml:space="preserve">Note</t>
  </si>
  <si>
    <t xml:space="preserve">Total, all 40 levels, at 1x</t>
  </si>
  <si>
    <t xml:space="preserve">Game time of the greedy bot (a player who never waits needlessly)</t>
  </si>
  <si>
    <t xml:space="preserve">Total, all 40 levels, at 2x</t>
  </si>
  <si>
    <t xml:space="preserve">Target: at least 35 minutes at 2x</t>
  </si>
  <si>
    <t xml:space="preserve">Meets the 35-minute target at 2x</t>
  </si>
  <si>
    <t xml:space="preserve">First session estimate (levels 1-12)</t>
  </si>
  <si>
    <t xml:space="preserve">Levels 1-12 at 1x</t>
  </si>
  <si>
    <t xml:space="preserve">Greedy play: the fastest clean run</t>
  </si>
  <si>
    <t xml:space="preserve">Levels 1-12 at 2x</t>
  </si>
  <si>
    <t xml:space="preserve">Levels 1-12 at 1x, with menus and retries</t>
  </si>
  <si>
    <t xml:space="preserve">Greedy time times the factor below</t>
  </si>
  <si>
    <t xml:space="preserve">Factor for a first-time player (assumption)</t>
  </si>
  <si>
    <t xml:space="preserve">Assumption, edit to taste: popups, tutorials, thinking and the odd retry</t>
  </si>
  <si>
    <t xml:space="preserve">Blocker introductions</t>
  </si>
  <si>
    <t xml:space="preserve">How it is introduced</t>
  </si>
  <si>
    <t xml:space="preserve">Hidden Box</t>
  </si>
  <si>
    <t xml:space="preserve">Intro popup (first appearance only)</t>
  </si>
  <si>
    <t xml:space="preserve">Connected Boxes (pairs)</t>
  </si>
  <si>
    <t xml:space="preserve">Connected triples</t>
  </si>
  <si>
    <t xml:space="preserve">Short non-blocking hint</t>
  </si>
  <si>
    <t xml:space="preserve">Hidden Box + Connected (first combination)</t>
  </si>
  <si>
    <t xml:space="preserve">No popup</t>
  </si>
  <si>
    <t xml:space="preserve">Hidden Marbles</t>
  </si>
  <si>
    <t xml:space="preserve">Marble Dispenser</t>
  </si>
  <si>
    <t xml:space="preserve">Lock &amp; Key</t>
  </si>
  <si>
    <t xml:space="preserve">Every blocker together</t>
  </si>
  <si>
    <t xml:space="preserve">No popup (finale)</t>
  </si>
  <si>
    <t xml:space="preserve">Levels per role</t>
  </si>
  <si>
    <t xml:space="preserve">Levels</t>
  </si>
  <si>
    <t xml:space="preserve">Levels in their difficulty band</t>
  </si>
  <si>
    <t xml:space="preserve">Random-bot win rate inside the target band</t>
  </si>
  <si>
    <t xml:space="preserve">Levels per box-lane count</t>
  </si>
  <si>
    <t xml:space="preserve">Which</t>
  </si>
  <si>
    <t xml:space="preserve">2 lanes</t>
  </si>
  <si>
    <t xml:space="preserve">f01, f02, f03, f04, f05, f09, f22, f31</t>
  </si>
  <si>
    <t xml:space="preserve">3 lanes</t>
  </si>
  <si>
    <t xml:space="preserve">all others</t>
  </si>
  <si>
    <t xml:space="preserve">4 lanes</t>
  </si>
  <si>
    <t xml:space="preserve">f16, f20, f23, f35</t>
  </si>
  <si>
    <t xml:space="preserve">5 lanes</t>
  </si>
  <si>
    <t xml:space="preserve">f38, f40</t>
  </si>
  <si>
    <t xml:space="preserve">Difficulty scale (used by Funnel!Measured diff)</t>
  </si>
  <si>
    <t xml:space="preserve">Random win rate (band centre)</t>
  </si>
  <si>
    <t xml:space="preserve">Difficulty</t>
  </si>
  <si>
    <t xml:space="preserve">No wins</t>
  </si>
  <si>
    <t xml:space="preserve">Centre of the target band</t>
  </si>
  <si>
    <t xml:space="preserve">All wins</t>
  </si>
  <si>
    <t xml:space="preserve">Between two rows the difficulty is read off a straight line.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</si>
</sst>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0.0"/>
    <numFmt numFmtId="167" formatCode="General"/>
    <numFmt numFmtId="168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B5FA8"/>
        <bgColor rgb="FF2A78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FDA"/>
      </left>
      <right style="thin">
        <color rgb="FFC8CFDA"/>
      </right>
      <top style="thin">
        <color rgb="FFC8CFDA"/>
      </top>
      <bottom style="thin">
        <color rgb="FFC8CF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E2F2D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FCC"/>
      <rgbColor rgb="FFCCFFFF"/>
      <rgbColor rgb="FF660066"/>
      <rgbColor rgb="FFFF8080"/>
      <rgbColor rgb="FF2B5FA8"/>
      <rgbColor rgb="FFC8CF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2DC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EB6834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Difficulty per level: target vs measured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Curve!B1</c:f>
              <c:strCache>
                <c:ptCount val="1"/>
                <c:pt idx="0">
                  <c:v>Target diff</c:v>
                </c:pt>
              </c:strCache>
            </c:strRef>
          </c:tx>
          <c:spPr>
            <a:solidFill>
              <a:srgbClr val="2a78d6"/>
            </a:solidFill>
            <a:ln w="21960">
              <a:solidFill>
                <a:srgbClr val="2a78d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Curve!$A$2:$A$41</c:f>
              <c:str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strCache>
            </c:strRef>
          </c:cat>
          <c:val>
            <c:numRef>
              <c:f>Curve!$B$2:$B$41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5</c:v>
                </c:pt>
                <c:pt idx="6">
                  <c:v>3</c:v>
                </c:pt>
                <c:pt idx="7">
                  <c:v>5</c:v>
                </c:pt>
                <c:pt idx="8">
                  <c:v>3</c:v>
                </c:pt>
                <c:pt idx="9">
                  <c:v>6</c:v>
                </c:pt>
                <c:pt idx="10">
                  <c:v>3</c:v>
                </c:pt>
                <c:pt idx="11">
                  <c:v>6</c:v>
                </c:pt>
                <c:pt idx="12">
                  <c:v>3</c:v>
                </c:pt>
                <c:pt idx="13">
                  <c:v>6</c:v>
                </c:pt>
                <c:pt idx="14">
                  <c:v>3</c:v>
                </c:pt>
                <c:pt idx="15">
                  <c:v>7</c:v>
                </c:pt>
                <c:pt idx="16">
                  <c:v>4</c:v>
                </c:pt>
                <c:pt idx="17">
                  <c:v>3</c:v>
                </c:pt>
                <c:pt idx="18">
                  <c:v>6</c:v>
                </c:pt>
                <c:pt idx="19">
                  <c:v>8</c:v>
                </c:pt>
                <c:pt idx="20">
                  <c:v>5</c:v>
                </c:pt>
                <c:pt idx="21">
                  <c:v>3</c:v>
                </c:pt>
                <c:pt idx="22">
                  <c:v>7</c:v>
                </c:pt>
                <c:pt idx="23">
                  <c:v>4</c:v>
                </c:pt>
                <c:pt idx="24">
                  <c:v>8</c:v>
                </c:pt>
                <c:pt idx="25">
                  <c:v>3</c:v>
                </c:pt>
                <c:pt idx="26">
                  <c:v>6</c:v>
                </c:pt>
                <c:pt idx="27">
                  <c:v>3</c:v>
                </c:pt>
                <c:pt idx="28">
                  <c:v>7</c:v>
                </c:pt>
                <c:pt idx="29">
                  <c:v>9</c:v>
                </c:pt>
                <c:pt idx="30">
                  <c:v>3</c:v>
                </c:pt>
                <c:pt idx="31">
                  <c:v>4</c:v>
                </c:pt>
                <c:pt idx="32">
                  <c:v>6</c:v>
                </c:pt>
                <c:pt idx="33">
                  <c:v>4</c:v>
                </c:pt>
                <c:pt idx="34">
                  <c:v>8</c:v>
                </c:pt>
                <c:pt idx="35">
                  <c:v>4</c:v>
                </c:pt>
                <c:pt idx="36">
                  <c:v>7</c:v>
                </c:pt>
                <c:pt idx="37">
                  <c:v>8</c:v>
                </c:pt>
                <c:pt idx="38">
                  <c:v>5</c:v>
                </c:pt>
                <c:pt idx="39">
                  <c:v>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Curve!C1</c:f>
              <c:strCache>
                <c:ptCount val="1"/>
                <c:pt idx="0">
                  <c:v>Measured diff</c:v>
                </c:pt>
              </c:strCache>
            </c:strRef>
          </c:tx>
          <c:spPr>
            <a:solidFill>
              <a:srgbClr val="eb6834"/>
            </a:solidFill>
            <a:ln w="21960">
              <a:solidFill>
                <a:srgbClr val="eb6834"/>
              </a:solidFill>
              <a:round/>
            </a:ln>
          </c:spPr>
          <c:marker>
            <c:symbol val="circle"/>
            <c:size val="6"/>
            <c:spPr>
              <a:solidFill>
                <a:srgbClr val="eb683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Curve!$A$2:$A$41</c:f>
              <c:str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strCache>
            </c:strRef>
          </c:cat>
          <c:val>
            <c:numRef>
              <c:f>Curve!$C$2:$C$41</c:f>
              <c:numCache>
                <c:formatCode>0.0</c:formatCode>
                <c:ptCount val="4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5.65</c:v>
                </c:pt>
                <c:pt idx="6">
                  <c:v>1</c:v>
                </c:pt>
                <c:pt idx="7">
                  <c:v>4.35</c:v>
                </c:pt>
                <c:pt idx="8">
                  <c:v>1</c:v>
                </c:pt>
                <c:pt idx="9">
                  <c:v>5.45</c:v>
                </c:pt>
                <c:pt idx="10">
                  <c:v>1</c:v>
                </c:pt>
                <c:pt idx="11">
                  <c:v>5.9</c:v>
                </c:pt>
                <c:pt idx="12">
                  <c:v>1</c:v>
                </c:pt>
                <c:pt idx="13">
                  <c:v>5.25</c:v>
                </c:pt>
                <c:pt idx="14">
                  <c:v>1</c:v>
                </c:pt>
                <c:pt idx="15">
                  <c:v>7.14285714285714</c:v>
                </c:pt>
                <c:pt idx="16">
                  <c:v>1</c:v>
                </c:pt>
                <c:pt idx="17">
                  <c:v>1</c:v>
                </c:pt>
                <c:pt idx="18">
                  <c:v>5.25</c:v>
                </c:pt>
                <c:pt idx="19">
                  <c:v>8.54545454545455</c:v>
                </c:pt>
                <c:pt idx="20">
                  <c:v>2.925</c:v>
                </c:pt>
                <c:pt idx="21">
                  <c:v>1</c:v>
                </c:pt>
                <c:pt idx="22">
                  <c:v>7.28571428571429</c:v>
                </c:pt>
                <c:pt idx="23">
                  <c:v>1</c:v>
                </c:pt>
                <c:pt idx="24">
                  <c:v>8.63636363636364</c:v>
                </c:pt>
                <c:pt idx="25">
                  <c:v>1.23333333333333</c:v>
                </c:pt>
                <c:pt idx="26">
                  <c:v>6.17647058823529</c:v>
                </c:pt>
                <c:pt idx="27">
                  <c:v>1</c:v>
                </c:pt>
                <c:pt idx="28">
                  <c:v>7.5</c:v>
                </c:pt>
                <c:pt idx="29">
                  <c:v>9.17391304347826</c:v>
                </c:pt>
                <c:pt idx="30">
                  <c:v>1</c:v>
                </c:pt>
                <c:pt idx="31">
                  <c:v>1</c:v>
                </c:pt>
                <c:pt idx="32">
                  <c:v>6.47058823529412</c:v>
                </c:pt>
                <c:pt idx="33">
                  <c:v>1</c:v>
                </c:pt>
                <c:pt idx="34">
                  <c:v>8.54545454545455</c:v>
                </c:pt>
                <c:pt idx="35">
                  <c:v>1</c:v>
                </c:pt>
                <c:pt idx="36">
                  <c:v>6.94117647058824</c:v>
                </c:pt>
                <c:pt idx="37">
                  <c:v>8.63636363636364</c:v>
                </c:pt>
                <c:pt idx="38">
                  <c:v>2.475</c:v>
                </c:pt>
                <c:pt idx="39">
                  <c:v>9.21739130434783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2627033"/>
        <c:axId val="95697356"/>
      </c:lineChart>
      <c:catAx>
        <c:axId val="626270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Level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697356"/>
        <c:crosses val="autoZero"/>
        <c:auto val="1"/>
        <c:lblAlgn val="ctr"/>
        <c:lblOffset val="100"/>
        <c:noMultiLvlLbl val="0"/>
      </c:catAx>
      <c:valAx>
        <c:axId val="95697356"/>
        <c:scaling>
          <c:orientation val="minMax"/>
          <c:max val="1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Difficulty (1-10)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627033"/>
        <c:crosses val="autoZero"/>
        <c:crossBetween val="between"/>
        <c:majorUnit val="1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Marbles per level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Curve!D1</c:f>
              <c:strCache>
                <c:ptCount val="1"/>
                <c:pt idx="0">
                  <c:v>Marbles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Curve!$A$2:$A$41</c:f>
              <c:str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strCache>
            </c:strRef>
          </c:cat>
          <c:val>
            <c:numRef>
              <c:f>Curve!$D$2:$D$41</c:f>
              <c:numCache>
                <c:formatCode>General</c:formatCode>
                <c:ptCount val="40"/>
                <c:pt idx="0">
                  <c:v>16</c:v>
                </c:pt>
                <c:pt idx="1">
                  <c:v>24</c:v>
                </c:pt>
                <c:pt idx="2">
                  <c:v>32</c:v>
                </c:pt>
                <c:pt idx="3">
                  <c:v>36</c:v>
                </c:pt>
                <c:pt idx="4">
                  <c:v>52</c:v>
                </c:pt>
                <c:pt idx="5">
                  <c:v>60</c:v>
                </c:pt>
                <c:pt idx="6">
                  <c:v>52</c:v>
                </c:pt>
                <c:pt idx="7">
                  <c:v>60</c:v>
                </c:pt>
                <c:pt idx="8">
                  <c:v>54</c:v>
                </c:pt>
                <c:pt idx="9">
                  <c:v>72</c:v>
                </c:pt>
                <c:pt idx="10">
                  <c:v>54</c:v>
                </c:pt>
                <c:pt idx="11">
                  <c:v>84</c:v>
                </c:pt>
                <c:pt idx="12">
                  <c:v>60</c:v>
                </c:pt>
                <c:pt idx="13">
                  <c:v>72</c:v>
                </c:pt>
                <c:pt idx="14">
                  <c:v>72</c:v>
                </c:pt>
                <c:pt idx="15">
                  <c:v>84</c:v>
                </c:pt>
                <c:pt idx="16">
                  <c:v>72</c:v>
                </c:pt>
                <c:pt idx="17">
                  <c:v>60</c:v>
                </c:pt>
                <c:pt idx="18">
                  <c:v>84</c:v>
                </c:pt>
                <c:pt idx="19">
                  <c:v>96</c:v>
                </c:pt>
                <c:pt idx="20">
                  <c:v>72</c:v>
                </c:pt>
                <c:pt idx="21">
                  <c:v>52</c:v>
                </c:pt>
                <c:pt idx="22">
                  <c:v>84</c:v>
                </c:pt>
                <c:pt idx="23">
                  <c:v>84</c:v>
                </c:pt>
                <c:pt idx="24">
                  <c:v>96</c:v>
                </c:pt>
                <c:pt idx="25">
                  <c:v>72</c:v>
                </c:pt>
                <c:pt idx="26">
                  <c:v>84</c:v>
                </c:pt>
                <c:pt idx="27">
                  <c:v>72</c:v>
                </c:pt>
                <c:pt idx="28">
                  <c:v>96</c:v>
                </c:pt>
                <c:pt idx="29">
                  <c:v>96</c:v>
                </c:pt>
                <c:pt idx="30">
                  <c:v>72</c:v>
                </c:pt>
                <c:pt idx="31">
                  <c:v>72</c:v>
                </c:pt>
                <c:pt idx="32">
                  <c:v>84</c:v>
                </c:pt>
                <c:pt idx="33">
                  <c:v>84</c:v>
                </c:pt>
                <c:pt idx="34">
                  <c:v>96</c:v>
                </c:pt>
                <c:pt idx="35">
                  <c:v>72</c:v>
                </c:pt>
                <c:pt idx="36">
                  <c:v>96</c:v>
                </c:pt>
                <c:pt idx="37">
                  <c:v>96</c:v>
                </c:pt>
                <c:pt idx="38">
                  <c:v>96</c:v>
                </c:pt>
                <c:pt idx="39">
                  <c:v>96</c:v>
                </c:pt>
              </c:numCache>
            </c:numRef>
          </c:val>
        </c:ser>
        <c:gapWidth val="40"/>
        <c:overlap val="0"/>
        <c:axId val="60027900"/>
        <c:axId val="72353183"/>
      </c:barChart>
      <c:catAx>
        <c:axId val="6002790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Level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353183"/>
        <c:crosses val="autoZero"/>
        <c:auto val="1"/>
        <c:lblAlgn val="ctr"/>
        <c:lblOffset val="100"/>
        <c:noMultiLvlLbl val="0"/>
      </c:catAx>
      <c:valAx>
        <c:axId val="723531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Marbles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0279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17</xdr:col>
      <xdr:colOff>253800</xdr:colOff>
      <xdr:row>18</xdr:row>
      <xdr:rowOff>1080</xdr:rowOff>
    </xdr:to>
    <xdr:graphicFrame>
      <xdr:nvGraphicFramePr>
        <xdr:cNvPr id="0" name="Chart 1"/>
        <xdr:cNvGraphicFramePr/>
      </xdr:nvGraphicFramePr>
      <xdr:xfrm>
        <a:off x="4492800" y="190440"/>
        <a:ext cx="93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21</xdr:row>
      <xdr:rowOff>0</xdr:rowOff>
    </xdr:from>
    <xdr:to>
      <xdr:col>17</xdr:col>
      <xdr:colOff>253800</xdr:colOff>
      <xdr:row>38</xdr:row>
      <xdr:rowOff>1440</xdr:rowOff>
    </xdr:to>
    <xdr:graphicFrame>
      <xdr:nvGraphicFramePr>
        <xdr:cNvPr id="1" name="Chart 2"/>
        <xdr:cNvGraphicFramePr/>
      </xdr:nvGraphicFramePr>
      <xdr:xfrm>
        <a:off x="4492800" y="4000680"/>
        <a:ext cx="93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"/>
    <col collapsed="false" customWidth="true" hidden="false" outlineLevel="0" max="3" min="3" style="0" width="24"/>
    <col collapsed="false" customWidth="true" hidden="false" outlineLevel="0" max="4" min="4" style="0" width="6"/>
    <col collapsed="false" customWidth="true" hidden="false" outlineLevel="0" max="7" min="5" style="0" width="8"/>
    <col collapsed="false" customWidth="true" hidden="false" outlineLevel="0" max="9" min="8" style="0" width="9"/>
    <col collapsed="false" customWidth="true" hidden="false" outlineLevel="0" max="10" min="10" style="0" width="8"/>
    <col collapsed="false" customWidth="true" hidden="false" outlineLevel="0" max="11" min="11" style="0" width="22"/>
    <col collapsed="false" customWidth="true" hidden="false" outlineLevel="0" max="12" min="12" style="0" width="7"/>
    <col collapsed="false" customWidth="true" hidden="false" outlineLevel="0" max="13" min="13" style="0" width="8"/>
    <col collapsed="false" customWidth="true" hidden="false" outlineLevel="0" max="14" min="14" style="0" width="9"/>
    <col collapsed="false" customWidth="true" hidden="false" outlineLevel="0" max="15" min="15" style="0" width="34"/>
    <col collapsed="false" customWidth="true" hidden="false" outlineLevel="0" max="20" min="16" style="0" width="7"/>
    <col collapsed="false" customWidth="true" hidden="false" outlineLevel="0" max="22" min="21" style="0" width="30"/>
    <col collapsed="false" customWidth="true" hidden="false" outlineLevel="0" max="23" min="23" style="0" width="22"/>
    <col collapsed="false" customWidth="true" hidden="false" outlineLevel="0" max="24" min="24" style="0" width="30"/>
    <col collapsed="false" customWidth="true" hidden="false" outlineLevel="0" max="26" min="25" style="0" width="9"/>
    <col collapsed="false" customWidth="true" hidden="false" outlineLevel="0" max="28" min="27" style="0" width="8"/>
    <col collapsed="false" customWidth="true" hidden="false" outlineLevel="0" max="29" min="29" style="0" width="10"/>
    <col collapsed="false" customWidth="true" hidden="false" outlineLevel="0" max="30" min="30" style="0" width="40"/>
  </cols>
  <sheetData>
    <row r="1" customFormat="false" ht="43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customFormat="false" ht="15" hidden="false" customHeight="false" outlineLevel="0" collapsed="false">
      <c r="A2" s="2" t="n">
        <v>1</v>
      </c>
      <c r="B2" s="2" t="s">
        <v>30</v>
      </c>
      <c r="C2" s="2" t="s">
        <v>31</v>
      </c>
      <c r="D2" s="2" t="n">
        <v>2</v>
      </c>
      <c r="E2" s="2" t="n">
        <v>1</v>
      </c>
      <c r="F2" s="3" t="n">
        <v>0.7</v>
      </c>
      <c r="G2" s="3" t="n">
        <v>1</v>
      </c>
      <c r="H2" s="3" t="n">
        <f aca="false">AA2/(AA2+AB2+AC2)</f>
        <v>1</v>
      </c>
      <c r="I2" s="4" t="n">
        <f aca="false">IF(H2&gt;=1,1,INDEX(Summary!$B$48:$B$57,MATCH(H2,Summary!$A$48:$A$57,1))+(H2-INDEX(Summary!$A$48:$A$57,MATCH(H2,Summary!$A$48:$A$57,1)))*(INDEX(Summary!$B$48:$B$57,MATCH(H2,Summary!$A$48:$A$57,1)+1)-INDEX(Summary!$B$48:$B$57,MATCH(H2,Summary!$A$48:$A$57,1)))/(INDEX(Summary!$A$48:$A$57,MATCH(H2,Summary!$A$48:$A$57,1)+1)-INDEX(Summary!$A$48:$A$57,MATCH(H2,Summary!$A$48:$A$57,1))))</f>
        <v>1</v>
      </c>
      <c r="J2" s="5" t="b">
        <f aca="false">AND(H2&gt;=F2,H2&lt;=G2)</f>
        <v>1</v>
      </c>
      <c r="K2" s="2" t="s">
        <v>32</v>
      </c>
      <c r="L2" s="2" t="n">
        <v>1</v>
      </c>
      <c r="M2" s="2" t="n">
        <v>2</v>
      </c>
      <c r="N2" s="2" t="n">
        <v>16</v>
      </c>
      <c r="O2" s="6" t="s">
        <v>33</v>
      </c>
      <c r="P2" s="2" t="n">
        <v>0</v>
      </c>
      <c r="Q2" s="2" t="n">
        <v>0</v>
      </c>
      <c r="R2" s="2" t="n">
        <v>2</v>
      </c>
      <c r="S2" s="2" t="n">
        <v>0</v>
      </c>
      <c r="T2" s="2" t="n">
        <f aca="false">SUM(P2:S2)</f>
        <v>2</v>
      </c>
      <c r="U2" s="2" t="s">
        <v>34</v>
      </c>
      <c r="V2" s="6" t="s">
        <v>35</v>
      </c>
      <c r="W2" s="6" t="s">
        <v>36</v>
      </c>
      <c r="X2" s="6" t="s">
        <v>37</v>
      </c>
      <c r="Y2" s="2" t="n">
        <v>5.3</v>
      </c>
      <c r="Z2" s="4" t="n">
        <f aca="false">Y2/2</f>
        <v>2.65</v>
      </c>
      <c r="AA2" s="2" t="n">
        <v>200</v>
      </c>
      <c r="AB2" s="2" t="n">
        <v>0</v>
      </c>
      <c r="AC2" s="2" t="n">
        <v>0</v>
      </c>
      <c r="AD2" s="2" t="s">
        <v>34</v>
      </c>
    </row>
    <row r="3" customFormat="false" ht="15" hidden="false" customHeight="false" outlineLevel="0" collapsed="false">
      <c r="A3" s="2" t="n">
        <v>2</v>
      </c>
      <c r="B3" s="2" t="s">
        <v>38</v>
      </c>
      <c r="C3" s="2" t="s">
        <v>39</v>
      </c>
      <c r="D3" s="2" t="n">
        <v>2</v>
      </c>
      <c r="E3" s="2" t="n">
        <v>2</v>
      </c>
      <c r="F3" s="3" t="n">
        <v>0.7</v>
      </c>
      <c r="G3" s="3" t="n">
        <v>1</v>
      </c>
      <c r="H3" s="3" t="n">
        <f aca="false">AA3/(AA3+AB3+AC3)</f>
        <v>1</v>
      </c>
      <c r="I3" s="4" t="n">
        <f aca="false">IF(H3&gt;=1,1,INDEX(Summary!$B$48:$B$57,MATCH(H3,Summary!$A$48:$A$57,1))+(H3-INDEX(Summary!$A$48:$A$57,MATCH(H3,Summary!$A$48:$A$57,1)))*(INDEX(Summary!$B$48:$B$57,MATCH(H3,Summary!$A$48:$A$57,1)+1)-INDEX(Summary!$B$48:$B$57,MATCH(H3,Summary!$A$48:$A$57,1)))/(INDEX(Summary!$A$48:$A$57,MATCH(H3,Summary!$A$48:$A$57,1)+1)-INDEX(Summary!$A$48:$A$57,MATCH(H3,Summary!$A$48:$A$57,1))))</f>
        <v>1</v>
      </c>
      <c r="J3" s="5" t="b">
        <f aca="false">AND(H3&gt;=F3,H3&lt;=G3)</f>
        <v>1</v>
      </c>
      <c r="K3" s="2" t="s">
        <v>40</v>
      </c>
      <c r="L3" s="2" t="n">
        <v>2</v>
      </c>
      <c r="M3" s="2" t="n">
        <v>3</v>
      </c>
      <c r="N3" s="2" t="n">
        <v>24</v>
      </c>
      <c r="O3" s="6" t="s">
        <v>41</v>
      </c>
      <c r="P3" s="2" t="n">
        <v>0</v>
      </c>
      <c r="Q3" s="2" t="n">
        <v>0</v>
      </c>
      <c r="R3" s="2" t="n">
        <v>3</v>
      </c>
      <c r="S3" s="2" t="n">
        <v>0</v>
      </c>
      <c r="T3" s="2" t="n">
        <f aca="false">SUM(P3:S3)</f>
        <v>3</v>
      </c>
      <c r="U3" s="2" t="s">
        <v>34</v>
      </c>
      <c r="V3" s="2" t="s">
        <v>34</v>
      </c>
      <c r="W3" s="6" t="s">
        <v>42</v>
      </c>
      <c r="X3" s="6" t="s">
        <v>43</v>
      </c>
      <c r="Y3" s="2" t="n">
        <v>7.4</v>
      </c>
      <c r="Z3" s="4" t="n">
        <f aca="false">Y3/2</f>
        <v>3.7</v>
      </c>
      <c r="AA3" s="2" t="n">
        <v>200</v>
      </c>
      <c r="AB3" s="2" t="n">
        <v>0</v>
      </c>
      <c r="AC3" s="2" t="n">
        <v>0</v>
      </c>
      <c r="AD3" s="2" t="s">
        <v>34</v>
      </c>
    </row>
    <row r="4" customFormat="false" ht="23.85" hidden="false" customHeight="false" outlineLevel="0" collapsed="false">
      <c r="A4" s="2" t="n">
        <v>3</v>
      </c>
      <c r="B4" s="2" t="s">
        <v>44</v>
      </c>
      <c r="C4" s="6" t="s">
        <v>45</v>
      </c>
      <c r="D4" s="2" t="n">
        <v>2</v>
      </c>
      <c r="E4" s="2" t="n">
        <v>2</v>
      </c>
      <c r="F4" s="3" t="n">
        <v>0.7</v>
      </c>
      <c r="G4" s="3" t="n">
        <v>1</v>
      </c>
      <c r="H4" s="3" t="n">
        <f aca="false">AA4/(AA4+AB4+AC4)</f>
        <v>1</v>
      </c>
      <c r="I4" s="4" t="n">
        <f aca="false">IF(H4&gt;=1,1,INDEX(Summary!$B$48:$B$57,MATCH(H4,Summary!$A$48:$A$57,1))+(H4-INDEX(Summary!$A$48:$A$57,MATCH(H4,Summary!$A$48:$A$57,1)))*(INDEX(Summary!$B$48:$B$57,MATCH(H4,Summary!$A$48:$A$57,1)+1)-INDEX(Summary!$B$48:$B$57,MATCH(H4,Summary!$A$48:$A$57,1)))/(INDEX(Summary!$A$48:$A$57,MATCH(H4,Summary!$A$48:$A$57,1)+1)-INDEX(Summary!$A$48:$A$57,MATCH(H4,Summary!$A$48:$A$57,1))))</f>
        <v>1</v>
      </c>
      <c r="J4" s="5" t="b">
        <f aca="false">AND(H4&gt;=F4,H4&lt;=G4)</f>
        <v>1</v>
      </c>
      <c r="K4" s="2" t="s">
        <v>46</v>
      </c>
      <c r="L4" s="2" t="n">
        <v>2</v>
      </c>
      <c r="M4" s="2" t="n">
        <v>3</v>
      </c>
      <c r="N4" s="2" t="n">
        <v>32</v>
      </c>
      <c r="O4" s="6" t="s">
        <v>47</v>
      </c>
      <c r="P4" s="2" t="n">
        <v>0</v>
      </c>
      <c r="Q4" s="2" t="n">
        <v>0</v>
      </c>
      <c r="R4" s="2" t="n">
        <v>4</v>
      </c>
      <c r="S4" s="2" t="n">
        <v>0</v>
      </c>
      <c r="T4" s="2" t="n">
        <f aca="false">SUM(P4:S4)</f>
        <v>4</v>
      </c>
      <c r="U4" s="2" t="s">
        <v>34</v>
      </c>
      <c r="V4" s="6" t="s">
        <v>48</v>
      </c>
      <c r="W4" s="2" t="s">
        <v>49</v>
      </c>
      <c r="X4" s="6" t="s">
        <v>50</v>
      </c>
      <c r="Y4" s="2" t="n">
        <v>7.5</v>
      </c>
      <c r="Z4" s="4" t="n">
        <f aca="false">Y4/2</f>
        <v>3.75</v>
      </c>
      <c r="AA4" s="2" t="n">
        <v>200</v>
      </c>
      <c r="AB4" s="2" t="n">
        <v>0</v>
      </c>
      <c r="AC4" s="2" t="n">
        <v>0</v>
      </c>
      <c r="AD4" s="6" t="s">
        <v>51</v>
      </c>
    </row>
    <row r="5" customFormat="false" ht="23.85" hidden="false" customHeight="false" outlineLevel="0" collapsed="false">
      <c r="A5" s="2" t="n">
        <v>4</v>
      </c>
      <c r="B5" s="2" t="s">
        <v>52</v>
      </c>
      <c r="C5" s="6" t="s">
        <v>53</v>
      </c>
      <c r="D5" s="2" t="n">
        <v>2</v>
      </c>
      <c r="E5" s="2" t="n">
        <v>3</v>
      </c>
      <c r="F5" s="3" t="n">
        <v>0.55</v>
      </c>
      <c r="G5" s="3" t="n">
        <v>0.75</v>
      </c>
      <c r="H5" s="3" t="n">
        <f aca="false">AA5/(AA5+AB5+AC5)</f>
        <v>1</v>
      </c>
      <c r="I5" s="4" t="n">
        <f aca="false">IF(H5&gt;=1,1,INDEX(Summary!$B$48:$B$57,MATCH(H5,Summary!$A$48:$A$57,1))+(H5-INDEX(Summary!$A$48:$A$57,MATCH(H5,Summary!$A$48:$A$57,1)))*(INDEX(Summary!$B$48:$B$57,MATCH(H5,Summary!$A$48:$A$57,1)+1)-INDEX(Summary!$B$48:$B$57,MATCH(H5,Summary!$A$48:$A$57,1)))/(INDEX(Summary!$A$48:$A$57,MATCH(H5,Summary!$A$48:$A$57,1)+1)-INDEX(Summary!$A$48:$A$57,MATCH(H5,Summary!$A$48:$A$57,1))))</f>
        <v>1</v>
      </c>
      <c r="J5" s="5" t="b">
        <f aca="false">AND(H5&gt;=F5,H5&lt;=G5)</f>
        <v>0</v>
      </c>
      <c r="K5" s="2" t="s">
        <v>54</v>
      </c>
      <c r="L5" s="2" t="n">
        <v>2</v>
      </c>
      <c r="M5" s="2" t="n">
        <v>4</v>
      </c>
      <c r="N5" s="2" t="n">
        <v>36</v>
      </c>
      <c r="O5" s="6" t="s">
        <v>55</v>
      </c>
      <c r="P5" s="2" t="n">
        <v>2</v>
      </c>
      <c r="Q5" s="2" t="n">
        <v>0</v>
      </c>
      <c r="R5" s="2" t="n">
        <v>2</v>
      </c>
      <c r="S5" s="2" t="n">
        <v>1</v>
      </c>
      <c r="T5" s="2" t="n">
        <f aca="false">SUM(P5:S5)</f>
        <v>5</v>
      </c>
      <c r="U5" s="2" t="s">
        <v>34</v>
      </c>
      <c r="V5" s="2" t="s">
        <v>34</v>
      </c>
      <c r="W5" s="2" t="s">
        <v>56</v>
      </c>
      <c r="X5" s="6" t="s">
        <v>57</v>
      </c>
      <c r="Y5" s="2" t="n">
        <v>8.6</v>
      </c>
      <c r="Z5" s="4" t="n">
        <f aca="false">Y5/2</f>
        <v>4.3</v>
      </c>
      <c r="AA5" s="2" t="n">
        <v>200</v>
      </c>
      <c r="AB5" s="2" t="n">
        <v>0</v>
      </c>
      <c r="AC5" s="2" t="n">
        <v>0</v>
      </c>
      <c r="AD5" s="6" t="s">
        <v>58</v>
      </c>
    </row>
    <row r="6" customFormat="false" ht="23.85" hidden="false" customHeight="false" outlineLevel="0" collapsed="false">
      <c r="A6" s="2" t="n">
        <v>5</v>
      </c>
      <c r="B6" s="2" t="s">
        <v>59</v>
      </c>
      <c r="C6" s="2" t="s">
        <v>60</v>
      </c>
      <c r="D6" s="2" t="n">
        <v>2</v>
      </c>
      <c r="E6" s="2" t="n">
        <v>2</v>
      </c>
      <c r="F6" s="3" t="n">
        <v>0.7</v>
      </c>
      <c r="G6" s="3" t="n">
        <v>1</v>
      </c>
      <c r="H6" s="3" t="n">
        <f aca="false">AA6/(AA6+AB6+AC6)</f>
        <v>1</v>
      </c>
      <c r="I6" s="4" t="n">
        <f aca="false">IF(H6&gt;=1,1,INDEX(Summary!$B$48:$B$57,MATCH(H6,Summary!$A$48:$A$57,1))+(H6-INDEX(Summary!$A$48:$A$57,MATCH(H6,Summary!$A$48:$A$57,1)))*(INDEX(Summary!$B$48:$B$57,MATCH(H6,Summary!$A$48:$A$57,1)+1)-INDEX(Summary!$B$48:$B$57,MATCH(H6,Summary!$A$48:$A$57,1)))/(INDEX(Summary!$A$48:$A$57,MATCH(H6,Summary!$A$48:$A$57,1)+1)-INDEX(Summary!$A$48:$A$57,MATCH(H6,Summary!$A$48:$A$57,1))))</f>
        <v>1</v>
      </c>
      <c r="J6" s="5" t="b">
        <f aca="false">AND(H6&gt;=F6,H6&lt;=G6)</f>
        <v>1</v>
      </c>
      <c r="K6" s="6" t="s">
        <v>61</v>
      </c>
      <c r="L6" s="2" t="n">
        <v>3</v>
      </c>
      <c r="M6" s="2" t="n">
        <v>4</v>
      </c>
      <c r="N6" s="2" t="n">
        <v>52</v>
      </c>
      <c r="O6" s="6" t="s">
        <v>62</v>
      </c>
      <c r="P6" s="2" t="n">
        <v>0</v>
      </c>
      <c r="Q6" s="2" t="n">
        <v>0</v>
      </c>
      <c r="R6" s="2" t="n">
        <v>2</v>
      </c>
      <c r="S6" s="2" t="n">
        <v>3</v>
      </c>
      <c r="T6" s="2" t="n">
        <f aca="false">SUM(P6:S6)</f>
        <v>5</v>
      </c>
      <c r="U6" s="2" t="s">
        <v>34</v>
      </c>
      <c r="V6" s="2" t="s">
        <v>34</v>
      </c>
      <c r="W6" s="6" t="s">
        <v>63</v>
      </c>
      <c r="X6" s="6" t="s">
        <v>64</v>
      </c>
      <c r="Y6" s="2" t="n">
        <v>9.5</v>
      </c>
      <c r="Z6" s="4" t="n">
        <f aca="false">Y6/2</f>
        <v>4.75</v>
      </c>
      <c r="AA6" s="2" t="n">
        <v>200</v>
      </c>
      <c r="AB6" s="2" t="n">
        <v>0</v>
      </c>
      <c r="AC6" s="2" t="n">
        <v>0</v>
      </c>
      <c r="AD6" s="6" t="s">
        <v>65</v>
      </c>
    </row>
    <row r="7" customFormat="false" ht="23.85" hidden="false" customHeight="false" outlineLevel="0" collapsed="false">
      <c r="A7" s="2" t="n">
        <v>6</v>
      </c>
      <c r="B7" s="2" t="s">
        <v>66</v>
      </c>
      <c r="C7" s="2" t="s">
        <v>67</v>
      </c>
      <c r="D7" s="2" t="n">
        <v>3</v>
      </c>
      <c r="E7" s="2" t="n">
        <v>5</v>
      </c>
      <c r="F7" s="3" t="n">
        <v>0.35</v>
      </c>
      <c r="G7" s="3" t="n">
        <v>0.5</v>
      </c>
      <c r="H7" s="3" t="n">
        <f aca="false">AA7/(AA7+AB7+AC7)</f>
        <v>0.36</v>
      </c>
      <c r="I7" s="4" t="n">
        <f aca="false">IF(H7&gt;=1,1,INDEX(Summary!$B$48:$B$57,MATCH(H7,Summary!$A$48:$A$57,1))+(H7-INDEX(Summary!$A$48:$A$57,MATCH(H7,Summary!$A$48:$A$57,1)))*(INDEX(Summary!$B$48:$B$57,MATCH(H7,Summary!$A$48:$A$57,1)+1)-INDEX(Summary!$B$48:$B$57,MATCH(H7,Summary!$A$48:$A$57,1)))/(INDEX(Summary!$A$48:$A$57,MATCH(H7,Summary!$A$48:$A$57,1)+1)-INDEX(Summary!$A$48:$A$57,MATCH(H7,Summary!$A$48:$A$57,1))))</f>
        <v>5.65</v>
      </c>
      <c r="J7" s="5" t="b">
        <f aca="false">AND(H7&gt;=F7,H7&lt;=G7)</f>
        <v>1</v>
      </c>
      <c r="K7" s="6" t="s">
        <v>68</v>
      </c>
      <c r="L7" s="2" t="n">
        <v>4</v>
      </c>
      <c r="M7" s="2" t="n">
        <v>5</v>
      </c>
      <c r="N7" s="2" t="n">
        <v>60</v>
      </c>
      <c r="O7" s="6" t="s">
        <v>69</v>
      </c>
      <c r="P7" s="2" t="n">
        <v>4</v>
      </c>
      <c r="Q7" s="2" t="n">
        <v>4</v>
      </c>
      <c r="R7" s="2" t="n">
        <v>1</v>
      </c>
      <c r="S7" s="2" t="n">
        <v>1</v>
      </c>
      <c r="T7" s="2" t="n">
        <f aca="false">SUM(P7:S7)</f>
        <v>10</v>
      </c>
      <c r="U7" s="2" t="s">
        <v>34</v>
      </c>
      <c r="V7" s="2" t="s">
        <v>34</v>
      </c>
      <c r="W7" s="2" t="s">
        <v>70</v>
      </c>
      <c r="X7" s="6" t="s">
        <v>71</v>
      </c>
      <c r="Y7" s="2" t="n">
        <v>27.2</v>
      </c>
      <c r="Z7" s="4" t="n">
        <f aca="false">Y7/2</f>
        <v>13.6</v>
      </c>
      <c r="AA7" s="2" t="n">
        <v>72</v>
      </c>
      <c r="AB7" s="2" t="n">
        <v>128</v>
      </c>
      <c r="AC7" s="2" t="n">
        <v>0</v>
      </c>
      <c r="AD7" s="6" t="s">
        <v>72</v>
      </c>
    </row>
    <row r="8" customFormat="false" ht="23.85" hidden="false" customHeight="false" outlineLevel="0" collapsed="false">
      <c r="A8" s="2" t="n">
        <v>7</v>
      </c>
      <c r="B8" s="2" t="s">
        <v>73</v>
      </c>
      <c r="C8" s="6" t="s">
        <v>74</v>
      </c>
      <c r="D8" s="2" t="n">
        <v>3</v>
      </c>
      <c r="E8" s="2" t="n">
        <v>3</v>
      </c>
      <c r="F8" s="3" t="n">
        <v>0.55</v>
      </c>
      <c r="G8" s="3" t="n">
        <v>0.75</v>
      </c>
      <c r="H8" s="3" t="n">
        <f aca="false">AA8/(AA8+AB8+AC8)</f>
        <v>1</v>
      </c>
      <c r="I8" s="4" t="n">
        <f aca="false">IF(H8&gt;=1,1,INDEX(Summary!$B$48:$B$57,MATCH(H8,Summary!$A$48:$A$57,1))+(H8-INDEX(Summary!$A$48:$A$57,MATCH(H8,Summary!$A$48:$A$57,1)))*(INDEX(Summary!$B$48:$B$57,MATCH(H8,Summary!$A$48:$A$57,1)+1)-INDEX(Summary!$B$48:$B$57,MATCH(H8,Summary!$A$48:$A$57,1)))/(INDEX(Summary!$A$48:$A$57,MATCH(H8,Summary!$A$48:$A$57,1)+1)-INDEX(Summary!$A$48:$A$57,MATCH(H8,Summary!$A$48:$A$57,1))))</f>
        <v>1</v>
      </c>
      <c r="J8" s="5" t="b">
        <f aca="false">AND(H8&gt;=F8,H8&lt;=G8)</f>
        <v>0</v>
      </c>
      <c r="K8" s="6" t="s">
        <v>61</v>
      </c>
      <c r="L8" s="2" t="n">
        <v>3</v>
      </c>
      <c r="M8" s="2" t="n">
        <v>4</v>
      </c>
      <c r="N8" s="2" t="n">
        <v>52</v>
      </c>
      <c r="O8" s="6" t="s">
        <v>75</v>
      </c>
      <c r="P8" s="2" t="n">
        <v>6</v>
      </c>
      <c r="Q8" s="2" t="n">
        <v>0</v>
      </c>
      <c r="R8" s="2" t="n">
        <v>2</v>
      </c>
      <c r="S8" s="2" t="n">
        <v>1</v>
      </c>
      <c r="T8" s="2" t="n">
        <f aca="false">SUM(P8:S8)</f>
        <v>9</v>
      </c>
      <c r="U8" s="6" t="s">
        <v>76</v>
      </c>
      <c r="V8" s="6" t="s">
        <v>77</v>
      </c>
      <c r="W8" s="6" t="s">
        <v>42</v>
      </c>
      <c r="X8" s="6" t="s">
        <v>78</v>
      </c>
      <c r="Y8" s="2" t="n">
        <v>14.6</v>
      </c>
      <c r="Z8" s="4" t="n">
        <f aca="false">Y8/2</f>
        <v>7.3</v>
      </c>
      <c r="AA8" s="2" t="n">
        <v>200</v>
      </c>
      <c r="AB8" s="2" t="n">
        <v>0</v>
      </c>
      <c r="AC8" s="2" t="n">
        <v>0</v>
      </c>
      <c r="AD8" s="6" t="s">
        <v>79</v>
      </c>
    </row>
    <row r="9" customFormat="false" ht="23.85" hidden="false" customHeight="false" outlineLevel="0" collapsed="false">
      <c r="A9" s="2" t="n">
        <v>8</v>
      </c>
      <c r="B9" s="2" t="s">
        <v>80</v>
      </c>
      <c r="C9" s="2" t="s">
        <v>81</v>
      </c>
      <c r="D9" s="2" t="n">
        <v>3</v>
      </c>
      <c r="E9" s="2" t="n">
        <v>5</v>
      </c>
      <c r="F9" s="3" t="n">
        <v>0.35</v>
      </c>
      <c r="G9" s="3" t="n">
        <v>0.5</v>
      </c>
      <c r="H9" s="3" t="n">
        <f aca="false">AA9/(AA9+AB9+AC9)</f>
        <v>0.49</v>
      </c>
      <c r="I9" s="4" t="n">
        <f aca="false">IF(H9&gt;=1,1,INDEX(Summary!$B$48:$B$57,MATCH(H9,Summary!$A$48:$A$57,1))+(H9-INDEX(Summary!$A$48:$A$57,MATCH(H9,Summary!$A$48:$A$57,1)))*(INDEX(Summary!$B$48:$B$57,MATCH(H9,Summary!$A$48:$A$57,1)+1)-INDEX(Summary!$B$48:$B$57,MATCH(H9,Summary!$A$48:$A$57,1)))/(INDEX(Summary!$A$48:$A$57,MATCH(H9,Summary!$A$48:$A$57,1)+1)-INDEX(Summary!$A$48:$A$57,MATCH(H9,Summary!$A$48:$A$57,1))))</f>
        <v>4.35</v>
      </c>
      <c r="J9" s="5" t="b">
        <f aca="false">AND(H9&gt;=F9,H9&lt;=G9)</f>
        <v>1</v>
      </c>
      <c r="K9" s="6" t="s">
        <v>68</v>
      </c>
      <c r="L9" s="2" t="n">
        <v>4</v>
      </c>
      <c r="M9" s="2" t="n">
        <v>5</v>
      </c>
      <c r="N9" s="2" t="n">
        <v>60</v>
      </c>
      <c r="O9" s="6" t="s">
        <v>82</v>
      </c>
      <c r="P9" s="2" t="n">
        <v>4</v>
      </c>
      <c r="Q9" s="2" t="n">
        <v>4</v>
      </c>
      <c r="R9" s="2" t="n">
        <v>1</v>
      </c>
      <c r="S9" s="2" t="n">
        <v>1</v>
      </c>
      <c r="T9" s="2" t="n">
        <f aca="false">SUM(P9:S9)</f>
        <v>10</v>
      </c>
      <c r="U9" s="6" t="s">
        <v>83</v>
      </c>
      <c r="V9" s="2" t="s">
        <v>34</v>
      </c>
      <c r="W9" s="2" t="s">
        <v>84</v>
      </c>
      <c r="X9" s="6" t="s">
        <v>85</v>
      </c>
      <c r="Y9" s="2" t="n">
        <v>23.8</v>
      </c>
      <c r="Z9" s="4" t="n">
        <f aca="false">Y9/2</f>
        <v>11.9</v>
      </c>
      <c r="AA9" s="2" t="n">
        <v>98</v>
      </c>
      <c r="AB9" s="2" t="n">
        <v>102</v>
      </c>
      <c r="AC9" s="2" t="n">
        <v>0</v>
      </c>
      <c r="AD9" s="6" t="s">
        <v>86</v>
      </c>
    </row>
    <row r="10" customFormat="false" ht="15" hidden="false" customHeight="false" outlineLevel="0" collapsed="false">
      <c r="A10" s="2" t="n">
        <v>9</v>
      </c>
      <c r="B10" s="2" t="s">
        <v>87</v>
      </c>
      <c r="C10" s="2" t="s">
        <v>88</v>
      </c>
      <c r="D10" s="2" t="n">
        <v>2</v>
      </c>
      <c r="E10" s="2" t="n">
        <v>3</v>
      </c>
      <c r="F10" s="3" t="n">
        <v>0.55</v>
      </c>
      <c r="G10" s="3" t="n">
        <v>0.75</v>
      </c>
      <c r="H10" s="3" t="n">
        <f aca="false">AA10/(AA10+AB10+AC10)</f>
        <v>1</v>
      </c>
      <c r="I10" s="4" t="n">
        <f aca="false">IF(H10&gt;=1,1,INDEX(Summary!$B$48:$B$57,MATCH(H10,Summary!$A$48:$A$57,1))+(H10-INDEX(Summary!$A$48:$A$57,MATCH(H10,Summary!$A$48:$A$57,1)))*(INDEX(Summary!$B$48:$B$57,MATCH(H10,Summary!$A$48:$A$57,1)+1)-INDEX(Summary!$B$48:$B$57,MATCH(H10,Summary!$A$48:$A$57,1)))/(INDEX(Summary!$A$48:$A$57,MATCH(H10,Summary!$A$48:$A$57,1)+1)-INDEX(Summary!$A$48:$A$57,MATCH(H10,Summary!$A$48:$A$57,1))))</f>
        <v>1</v>
      </c>
      <c r="J10" s="5" t="b">
        <f aca="false">AND(H10&gt;=F10,H10&lt;=G10)</f>
        <v>0</v>
      </c>
      <c r="K10" s="6" t="s">
        <v>61</v>
      </c>
      <c r="L10" s="2" t="n">
        <v>3</v>
      </c>
      <c r="M10" s="2" t="n">
        <v>4</v>
      </c>
      <c r="N10" s="2" t="n">
        <v>54</v>
      </c>
      <c r="O10" s="6" t="s">
        <v>89</v>
      </c>
      <c r="P10" s="2" t="n">
        <v>0</v>
      </c>
      <c r="Q10" s="2" t="n">
        <v>3</v>
      </c>
      <c r="R10" s="2" t="n">
        <v>3</v>
      </c>
      <c r="S10" s="2" t="n">
        <v>1</v>
      </c>
      <c r="T10" s="2" t="n">
        <f aca="false">SUM(P10:S10)</f>
        <v>7</v>
      </c>
      <c r="U10" s="2" t="s">
        <v>34</v>
      </c>
      <c r="V10" s="2" t="s">
        <v>34</v>
      </c>
      <c r="W10" s="2" t="s">
        <v>49</v>
      </c>
      <c r="X10" s="6" t="s">
        <v>90</v>
      </c>
      <c r="Y10" s="2" t="n">
        <v>12.7</v>
      </c>
      <c r="Z10" s="4" t="n">
        <f aca="false">Y10/2</f>
        <v>6.35</v>
      </c>
      <c r="AA10" s="2" t="n">
        <v>200</v>
      </c>
      <c r="AB10" s="2" t="n">
        <v>0</v>
      </c>
      <c r="AC10" s="2" t="n">
        <v>0</v>
      </c>
      <c r="AD10" s="6" t="s">
        <v>65</v>
      </c>
    </row>
    <row r="11" customFormat="false" ht="23.85" hidden="false" customHeight="false" outlineLevel="0" collapsed="false">
      <c r="A11" s="2" t="n">
        <v>10</v>
      </c>
      <c r="B11" s="2" t="s">
        <v>91</v>
      </c>
      <c r="C11" s="2" t="s">
        <v>92</v>
      </c>
      <c r="D11" s="2" t="n">
        <v>3</v>
      </c>
      <c r="E11" s="2" t="n">
        <v>6</v>
      </c>
      <c r="F11" s="3" t="n">
        <v>0.25</v>
      </c>
      <c r="G11" s="3" t="n">
        <v>0.4</v>
      </c>
      <c r="H11" s="3" t="n">
        <f aca="false">AA11/(AA11+AB11+AC11)</f>
        <v>0.38</v>
      </c>
      <c r="I11" s="4" t="n">
        <f aca="false">IF(H11&gt;=1,1,INDEX(Summary!$B$48:$B$57,MATCH(H11,Summary!$A$48:$A$57,1))+(H11-INDEX(Summary!$A$48:$A$57,MATCH(H11,Summary!$A$48:$A$57,1)))*(INDEX(Summary!$B$48:$B$57,MATCH(H11,Summary!$A$48:$A$57,1)+1)-INDEX(Summary!$B$48:$B$57,MATCH(H11,Summary!$A$48:$A$57,1)))/(INDEX(Summary!$A$48:$A$57,MATCH(H11,Summary!$A$48:$A$57,1)+1)-INDEX(Summary!$A$48:$A$57,MATCH(H11,Summary!$A$48:$A$57,1))))</f>
        <v>5.45</v>
      </c>
      <c r="J11" s="5" t="b">
        <f aca="false">AND(H11&gt;=F11,H11&lt;=G11)</f>
        <v>1</v>
      </c>
      <c r="K11" s="6" t="s">
        <v>93</v>
      </c>
      <c r="L11" s="2" t="n">
        <v>4</v>
      </c>
      <c r="M11" s="2" t="n">
        <v>6</v>
      </c>
      <c r="N11" s="2" t="n">
        <v>72</v>
      </c>
      <c r="O11" s="6" t="s">
        <v>94</v>
      </c>
      <c r="P11" s="2" t="n">
        <v>7</v>
      </c>
      <c r="Q11" s="2" t="n">
        <v>4</v>
      </c>
      <c r="R11" s="2" t="n">
        <v>1</v>
      </c>
      <c r="S11" s="2" t="n">
        <v>1</v>
      </c>
      <c r="T11" s="2" t="n">
        <f aca="false">SUM(P11:S11)</f>
        <v>13</v>
      </c>
      <c r="U11" s="6" t="s">
        <v>95</v>
      </c>
      <c r="V11" s="2" t="s">
        <v>34</v>
      </c>
      <c r="W11" s="6" t="s">
        <v>96</v>
      </c>
      <c r="X11" s="6" t="s">
        <v>97</v>
      </c>
      <c r="Y11" s="2" t="n">
        <v>31.9</v>
      </c>
      <c r="Z11" s="4" t="n">
        <f aca="false">Y11/2</f>
        <v>15.95</v>
      </c>
      <c r="AA11" s="2" t="n">
        <v>76</v>
      </c>
      <c r="AB11" s="2" t="n">
        <v>124</v>
      </c>
      <c r="AC11" s="2" t="n">
        <v>0</v>
      </c>
      <c r="AD11" s="6" t="s">
        <v>98</v>
      </c>
    </row>
    <row r="12" customFormat="false" ht="15" hidden="false" customHeight="false" outlineLevel="0" collapsed="false">
      <c r="A12" s="2" t="n">
        <v>11</v>
      </c>
      <c r="B12" s="2" t="s">
        <v>99</v>
      </c>
      <c r="C12" s="2" t="s">
        <v>88</v>
      </c>
      <c r="D12" s="2" t="n">
        <v>3</v>
      </c>
      <c r="E12" s="2" t="n">
        <v>3</v>
      </c>
      <c r="F12" s="3" t="n">
        <v>0.55</v>
      </c>
      <c r="G12" s="3" t="n">
        <v>0.75</v>
      </c>
      <c r="H12" s="3" t="n">
        <f aca="false">AA12/(AA12+AB12+AC12)</f>
        <v>1</v>
      </c>
      <c r="I12" s="4" t="n">
        <f aca="false">IF(H12&gt;=1,1,INDEX(Summary!$B$48:$B$57,MATCH(H12,Summary!$A$48:$A$57,1))+(H12-INDEX(Summary!$A$48:$A$57,MATCH(H12,Summary!$A$48:$A$57,1)))*(INDEX(Summary!$B$48:$B$57,MATCH(H12,Summary!$A$48:$A$57,1)+1)-INDEX(Summary!$B$48:$B$57,MATCH(H12,Summary!$A$48:$A$57,1)))/(INDEX(Summary!$A$48:$A$57,MATCH(H12,Summary!$A$48:$A$57,1)+1)-INDEX(Summary!$A$48:$A$57,MATCH(H12,Summary!$A$48:$A$57,1))))</f>
        <v>1</v>
      </c>
      <c r="J12" s="5" t="b">
        <f aca="false">AND(H12&gt;=F12,H12&lt;=G12)</f>
        <v>0</v>
      </c>
      <c r="K12" s="6" t="s">
        <v>61</v>
      </c>
      <c r="L12" s="2" t="n">
        <v>3</v>
      </c>
      <c r="M12" s="2" t="n">
        <v>4</v>
      </c>
      <c r="N12" s="2" t="n">
        <v>54</v>
      </c>
      <c r="O12" s="6" t="s">
        <v>89</v>
      </c>
      <c r="P12" s="2" t="n">
        <v>0</v>
      </c>
      <c r="Q12" s="2" t="n">
        <v>3</v>
      </c>
      <c r="R12" s="2" t="n">
        <v>3</v>
      </c>
      <c r="S12" s="2" t="n">
        <v>1</v>
      </c>
      <c r="T12" s="2" t="n">
        <f aca="false">SUM(P12:S12)</f>
        <v>7</v>
      </c>
      <c r="U12" s="2" t="s">
        <v>34</v>
      </c>
      <c r="V12" s="2" t="s">
        <v>34</v>
      </c>
      <c r="W12" s="2" t="s">
        <v>100</v>
      </c>
      <c r="X12" s="6" t="s">
        <v>101</v>
      </c>
      <c r="Y12" s="2" t="n">
        <v>13.1</v>
      </c>
      <c r="Z12" s="4" t="n">
        <f aca="false">Y12/2</f>
        <v>6.55</v>
      </c>
      <c r="AA12" s="2" t="n">
        <v>200</v>
      </c>
      <c r="AB12" s="2" t="n">
        <v>0</v>
      </c>
      <c r="AC12" s="2" t="n">
        <v>0</v>
      </c>
      <c r="AD12" s="2" t="s">
        <v>34</v>
      </c>
    </row>
    <row r="13" customFormat="false" ht="23.85" hidden="false" customHeight="false" outlineLevel="0" collapsed="false">
      <c r="A13" s="2" t="n">
        <v>12</v>
      </c>
      <c r="B13" s="2" t="s">
        <v>102</v>
      </c>
      <c r="C13" s="2" t="s">
        <v>67</v>
      </c>
      <c r="D13" s="2" t="n">
        <v>3</v>
      </c>
      <c r="E13" s="2" t="n">
        <v>6</v>
      </c>
      <c r="F13" s="3" t="n">
        <v>0.25</v>
      </c>
      <c r="G13" s="3" t="n">
        <v>0.4</v>
      </c>
      <c r="H13" s="3" t="n">
        <f aca="false">AA13/(AA13+AB13+AC13)</f>
        <v>0.335</v>
      </c>
      <c r="I13" s="4" t="n">
        <f aca="false">IF(H13&gt;=1,1,INDEX(Summary!$B$48:$B$57,MATCH(H13,Summary!$A$48:$A$57,1))+(H13-INDEX(Summary!$A$48:$A$57,MATCH(H13,Summary!$A$48:$A$57,1)))*(INDEX(Summary!$B$48:$B$57,MATCH(H13,Summary!$A$48:$A$57,1)+1)-INDEX(Summary!$B$48:$B$57,MATCH(H13,Summary!$A$48:$A$57,1)))/(INDEX(Summary!$A$48:$A$57,MATCH(H13,Summary!$A$48:$A$57,1)+1)-INDEX(Summary!$A$48:$A$57,MATCH(H13,Summary!$A$48:$A$57,1))))</f>
        <v>5.9</v>
      </c>
      <c r="J13" s="5" t="b">
        <f aca="false">AND(H13&gt;=F13,H13&lt;=G13)</f>
        <v>1</v>
      </c>
      <c r="K13" s="6" t="s">
        <v>103</v>
      </c>
      <c r="L13" s="2" t="n">
        <v>4</v>
      </c>
      <c r="M13" s="2" t="n">
        <v>6</v>
      </c>
      <c r="N13" s="2" t="n">
        <v>84</v>
      </c>
      <c r="O13" s="6" t="s">
        <v>104</v>
      </c>
      <c r="P13" s="2" t="n">
        <v>2</v>
      </c>
      <c r="Q13" s="2" t="n">
        <v>2</v>
      </c>
      <c r="R13" s="2" t="n">
        <v>2</v>
      </c>
      <c r="S13" s="2" t="n">
        <v>4</v>
      </c>
      <c r="T13" s="2" t="n">
        <f aca="false">SUM(P13:S13)</f>
        <v>10</v>
      </c>
      <c r="U13" s="6" t="s">
        <v>83</v>
      </c>
      <c r="V13" s="2" t="s">
        <v>34</v>
      </c>
      <c r="W13" s="6" t="s">
        <v>42</v>
      </c>
      <c r="X13" s="6" t="s">
        <v>105</v>
      </c>
      <c r="Y13" s="2" t="n">
        <v>29.9</v>
      </c>
      <c r="Z13" s="4" t="n">
        <f aca="false">Y13/2</f>
        <v>14.95</v>
      </c>
      <c r="AA13" s="2" t="n">
        <v>67</v>
      </c>
      <c r="AB13" s="2" t="n">
        <v>133</v>
      </c>
      <c r="AC13" s="2" t="n">
        <v>0</v>
      </c>
      <c r="AD13" s="6" t="s">
        <v>106</v>
      </c>
    </row>
    <row r="14" customFormat="false" ht="23.85" hidden="false" customHeight="false" outlineLevel="0" collapsed="false">
      <c r="A14" s="2" t="n">
        <v>13</v>
      </c>
      <c r="B14" s="2" t="s">
        <v>107</v>
      </c>
      <c r="C14" s="6" t="s">
        <v>74</v>
      </c>
      <c r="D14" s="2" t="n">
        <v>3</v>
      </c>
      <c r="E14" s="2" t="n">
        <v>3</v>
      </c>
      <c r="F14" s="3" t="n">
        <v>0.55</v>
      </c>
      <c r="G14" s="3" t="n">
        <v>0.75</v>
      </c>
      <c r="H14" s="3" t="n">
        <f aca="false">AA14/(AA14+AB14+AC14)</f>
        <v>1</v>
      </c>
      <c r="I14" s="4" t="n">
        <f aca="false">IF(H14&gt;=1,1,INDEX(Summary!$B$48:$B$57,MATCH(H14,Summary!$A$48:$A$57,1))+(H14-INDEX(Summary!$A$48:$A$57,MATCH(H14,Summary!$A$48:$A$57,1)))*(INDEX(Summary!$B$48:$B$57,MATCH(H14,Summary!$A$48:$A$57,1)+1)-INDEX(Summary!$B$48:$B$57,MATCH(H14,Summary!$A$48:$A$57,1)))/(INDEX(Summary!$A$48:$A$57,MATCH(H14,Summary!$A$48:$A$57,1)+1)-INDEX(Summary!$A$48:$A$57,MATCH(H14,Summary!$A$48:$A$57,1))))</f>
        <v>1</v>
      </c>
      <c r="J14" s="5" t="b">
        <f aca="false">AND(H14&gt;=F14,H14&lt;=G14)</f>
        <v>0</v>
      </c>
      <c r="K14" s="6" t="s">
        <v>68</v>
      </c>
      <c r="L14" s="2" t="n">
        <v>4</v>
      </c>
      <c r="M14" s="2" t="n">
        <v>5</v>
      </c>
      <c r="N14" s="2" t="n">
        <v>60</v>
      </c>
      <c r="O14" s="6" t="s">
        <v>108</v>
      </c>
      <c r="P14" s="2" t="n">
        <v>4</v>
      </c>
      <c r="Q14" s="2" t="n">
        <v>4</v>
      </c>
      <c r="R14" s="2" t="n">
        <v>1</v>
      </c>
      <c r="S14" s="2" t="n">
        <v>1</v>
      </c>
      <c r="T14" s="2" t="n">
        <f aca="false">SUM(P14:S14)</f>
        <v>10</v>
      </c>
      <c r="U14" s="6" t="s">
        <v>109</v>
      </c>
      <c r="V14" s="6" t="s">
        <v>110</v>
      </c>
      <c r="W14" s="2" t="s">
        <v>56</v>
      </c>
      <c r="X14" s="6" t="s">
        <v>97</v>
      </c>
      <c r="Y14" s="2" t="n">
        <v>21.4</v>
      </c>
      <c r="Z14" s="4" t="n">
        <f aca="false">Y14/2</f>
        <v>10.7</v>
      </c>
      <c r="AA14" s="2" t="n">
        <v>200</v>
      </c>
      <c r="AB14" s="2" t="n">
        <v>0</v>
      </c>
      <c r="AC14" s="2" t="n">
        <v>0</v>
      </c>
      <c r="AD14" s="6" t="s">
        <v>106</v>
      </c>
    </row>
    <row r="15" customFormat="false" ht="35.05" hidden="false" customHeight="false" outlineLevel="0" collapsed="false">
      <c r="A15" s="2" t="n">
        <v>14</v>
      </c>
      <c r="B15" s="2" t="s">
        <v>111</v>
      </c>
      <c r="C15" s="2" t="s">
        <v>81</v>
      </c>
      <c r="D15" s="2" t="n">
        <v>3</v>
      </c>
      <c r="E15" s="2" t="n">
        <v>6</v>
      </c>
      <c r="F15" s="3" t="n">
        <v>0.25</v>
      </c>
      <c r="G15" s="3" t="n">
        <v>0.4</v>
      </c>
      <c r="H15" s="3" t="n">
        <f aca="false">AA15/(AA15+AB15+AC15)</f>
        <v>0.4</v>
      </c>
      <c r="I15" s="4" t="n">
        <f aca="false">IF(H15&gt;=1,1,INDEX(Summary!$B$48:$B$57,MATCH(H15,Summary!$A$48:$A$57,1))+(H15-INDEX(Summary!$A$48:$A$57,MATCH(H15,Summary!$A$48:$A$57,1)))*(INDEX(Summary!$B$48:$B$57,MATCH(H15,Summary!$A$48:$A$57,1)+1)-INDEX(Summary!$B$48:$B$57,MATCH(H15,Summary!$A$48:$A$57,1)))/(INDEX(Summary!$A$48:$A$57,MATCH(H15,Summary!$A$48:$A$57,1)+1)-INDEX(Summary!$A$48:$A$57,MATCH(H15,Summary!$A$48:$A$57,1))))</f>
        <v>5.25</v>
      </c>
      <c r="J15" s="5" t="b">
        <f aca="false">AND(H15&gt;=F15,H15&lt;=G15)</f>
        <v>1</v>
      </c>
      <c r="K15" s="6" t="s">
        <v>93</v>
      </c>
      <c r="L15" s="2" t="n">
        <v>4</v>
      </c>
      <c r="M15" s="2" t="n">
        <v>6</v>
      </c>
      <c r="N15" s="2" t="n">
        <v>72</v>
      </c>
      <c r="O15" s="6" t="s">
        <v>112</v>
      </c>
      <c r="P15" s="2" t="n">
        <v>7</v>
      </c>
      <c r="Q15" s="2" t="n">
        <v>4</v>
      </c>
      <c r="R15" s="2" t="n">
        <v>1</v>
      </c>
      <c r="S15" s="2" t="n">
        <v>1</v>
      </c>
      <c r="T15" s="2" t="n">
        <f aca="false">SUM(P15:S15)</f>
        <v>13</v>
      </c>
      <c r="U15" s="6" t="s">
        <v>113</v>
      </c>
      <c r="V15" s="2" t="s">
        <v>34</v>
      </c>
      <c r="W15" s="6" t="s">
        <v>96</v>
      </c>
      <c r="X15" s="6" t="s">
        <v>114</v>
      </c>
      <c r="Y15" s="2" t="n">
        <v>31.8</v>
      </c>
      <c r="Z15" s="4" t="n">
        <f aca="false">Y15/2</f>
        <v>15.9</v>
      </c>
      <c r="AA15" s="2" t="n">
        <v>80</v>
      </c>
      <c r="AB15" s="2" t="n">
        <v>120</v>
      </c>
      <c r="AC15" s="2" t="n">
        <v>0</v>
      </c>
      <c r="AD15" s="6" t="s">
        <v>115</v>
      </c>
    </row>
    <row r="16" customFormat="false" ht="23.85" hidden="false" customHeight="false" outlineLevel="0" collapsed="false">
      <c r="A16" s="2" t="n">
        <v>15</v>
      </c>
      <c r="B16" s="2" t="s">
        <v>116</v>
      </c>
      <c r="C16" s="2" t="s">
        <v>60</v>
      </c>
      <c r="D16" s="2" t="n">
        <v>3</v>
      </c>
      <c r="E16" s="2" t="n">
        <v>3</v>
      </c>
      <c r="F16" s="3" t="n">
        <v>0.55</v>
      </c>
      <c r="G16" s="3" t="n">
        <v>0.75</v>
      </c>
      <c r="H16" s="3" t="n">
        <f aca="false">AA16/(AA16+AB16+AC16)</f>
        <v>1</v>
      </c>
      <c r="I16" s="4" t="n">
        <f aca="false">IF(H16&gt;=1,1,INDEX(Summary!$B$48:$B$57,MATCH(H16,Summary!$A$48:$A$57,1))+(H16-INDEX(Summary!$A$48:$A$57,MATCH(H16,Summary!$A$48:$A$57,1)))*(INDEX(Summary!$B$48:$B$57,MATCH(H16,Summary!$A$48:$A$57,1)+1)-INDEX(Summary!$B$48:$B$57,MATCH(H16,Summary!$A$48:$A$57,1)))/(INDEX(Summary!$A$48:$A$57,MATCH(H16,Summary!$A$48:$A$57,1)+1)-INDEX(Summary!$A$48:$A$57,MATCH(H16,Summary!$A$48:$A$57,1))))</f>
        <v>1</v>
      </c>
      <c r="J16" s="5" t="b">
        <f aca="false">AND(H16&gt;=F16,H16&lt;=G16)</f>
        <v>0</v>
      </c>
      <c r="K16" s="6" t="s">
        <v>93</v>
      </c>
      <c r="L16" s="2" t="n">
        <v>4</v>
      </c>
      <c r="M16" s="2" t="n">
        <v>5</v>
      </c>
      <c r="N16" s="2" t="n">
        <v>72</v>
      </c>
      <c r="O16" s="6" t="s">
        <v>117</v>
      </c>
      <c r="P16" s="2" t="n">
        <v>0</v>
      </c>
      <c r="Q16" s="2" t="n">
        <v>0</v>
      </c>
      <c r="R16" s="2" t="n">
        <v>6</v>
      </c>
      <c r="S16" s="2" t="n">
        <v>2</v>
      </c>
      <c r="T16" s="2" t="n">
        <f aca="false">SUM(P16:S16)</f>
        <v>8</v>
      </c>
      <c r="U16" s="2" t="s">
        <v>34</v>
      </c>
      <c r="V16" s="2" t="s">
        <v>34</v>
      </c>
      <c r="W16" s="2" t="s">
        <v>70</v>
      </c>
      <c r="X16" s="6" t="s">
        <v>118</v>
      </c>
      <c r="Y16" s="2" t="n">
        <v>14.7</v>
      </c>
      <c r="Z16" s="4" t="n">
        <f aca="false">Y16/2</f>
        <v>7.35</v>
      </c>
      <c r="AA16" s="2" t="n">
        <v>200</v>
      </c>
      <c r="AB16" s="2" t="n">
        <v>0</v>
      </c>
      <c r="AC16" s="2" t="n">
        <v>0</v>
      </c>
      <c r="AD16" s="6" t="s">
        <v>72</v>
      </c>
    </row>
    <row r="17" customFormat="false" ht="23.85" hidden="false" customHeight="false" outlineLevel="0" collapsed="false">
      <c r="A17" s="2" t="n">
        <v>16</v>
      </c>
      <c r="B17" s="2" t="s">
        <v>119</v>
      </c>
      <c r="C17" s="2" t="s">
        <v>67</v>
      </c>
      <c r="D17" s="2" t="n">
        <v>4</v>
      </c>
      <c r="E17" s="2" t="n">
        <v>7</v>
      </c>
      <c r="F17" s="3" t="n">
        <v>0.18</v>
      </c>
      <c r="G17" s="3" t="n">
        <v>0.3</v>
      </c>
      <c r="H17" s="3" t="n">
        <f aca="false">AA17/(AA17+AB17+AC17)</f>
        <v>0.23</v>
      </c>
      <c r="I17" s="4" t="n">
        <f aca="false">IF(H17&gt;=1,1,INDEX(Summary!$B$48:$B$57,MATCH(H17,Summary!$A$48:$A$57,1))+(H17-INDEX(Summary!$A$48:$A$57,MATCH(H17,Summary!$A$48:$A$57,1)))*(INDEX(Summary!$B$48:$B$57,MATCH(H17,Summary!$A$48:$A$57,1)+1)-INDEX(Summary!$B$48:$B$57,MATCH(H17,Summary!$A$48:$A$57,1)))/(INDEX(Summary!$A$48:$A$57,MATCH(H17,Summary!$A$48:$A$57,1)+1)-INDEX(Summary!$A$48:$A$57,MATCH(H17,Summary!$A$48:$A$57,1))))</f>
        <v>7.14285714285714</v>
      </c>
      <c r="J17" s="5" t="b">
        <f aca="false">AND(H17&gt;=F17,H17&lt;=G17)</f>
        <v>1</v>
      </c>
      <c r="K17" s="6" t="s">
        <v>103</v>
      </c>
      <c r="L17" s="2" t="n">
        <v>4</v>
      </c>
      <c r="M17" s="2" t="n">
        <v>7</v>
      </c>
      <c r="N17" s="2" t="n">
        <v>84</v>
      </c>
      <c r="O17" s="6" t="s">
        <v>120</v>
      </c>
      <c r="P17" s="2" t="n">
        <v>7</v>
      </c>
      <c r="Q17" s="2" t="n">
        <v>6</v>
      </c>
      <c r="R17" s="2" t="n">
        <v>1</v>
      </c>
      <c r="S17" s="2" t="n">
        <v>1</v>
      </c>
      <c r="T17" s="2" t="n">
        <f aca="false">SUM(P17:S17)</f>
        <v>15</v>
      </c>
      <c r="U17" s="6" t="s">
        <v>121</v>
      </c>
      <c r="V17" s="2" t="s">
        <v>34</v>
      </c>
      <c r="W17" s="2" t="s">
        <v>100</v>
      </c>
      <c r="X17" s="6" t="s">
        <v>105</v>
      </c>
      <c r="Y17" s="2" t="n">
        <v>32.5</v>
      </c>
      <c r="Z17" s="4" t="n">
        <f aca="false">Y17/2</f>
        <v>16.25</v>
      </c>
      <c r="AA17" s="2" t="n">
        <v>46</v>
      </c>
      <c r="AB17" s="2" t="n">
        <v>154</v>
      </c>
      <c r="AC17" s="2" t="n">
        <v>0</v>
      </c>
      <c r="AD17" s="6" t="s">
        <v>106</v>
      </c>
    </row>
    <row r="18" customFormat="false" ht="23.85" hidden="false" customHeight="false" outlineLevel="0" collapsed="false">
      <c r="A18" s="2" t="n">
        <v>17</v>
      </c>
      <c r="B18" s="2" t="s">
        <v>122</v>
      </c>
      <c r="C18" s="6" t="s">
        <v>123</v>
      </c>
      <c r="D18" s="2" t="n">
        <v>3</v>
      </c>
      <c r="E18" s="2" t="n">
        <v>4</v>
      </c>
      <c r="F18" s="3" t="n">
        <v>0.45</v>
      </c>
      <c r="G18" s="3" t="n">
        <v>0.6</v>
      </c>
      <c r="H18" s="3" t="n">
        <f aca="false">AA18/(AA18+AB18+AC18)</f>
        <v>1</v>
      </c>
      <c r="I18" s="4" t="n">
        <f aca="false">IF(H18&gt;=1,1,INDEX(Summary!$B$48:$B$57,MATCH(H18,Summary!$A$48:$A$57,1))+(H18-INDEX(Summary!$A$48:$A$57,MATCH(H18,Summary!$A$48:$A$57,1)))*(INDEX(Summary!$B$48:$B$57,MATCH(H18,Summary!$A$48:$A$57,1)+1)-INDEX(Summary!$B$48:$B$57,MATCH(H18,Summary!$A$48:$A$57,1)))/(INDEX(Summary!$A$48:$A$57,MATCH(H18,Summary!$A$48:$A$57,1)+1)-INDEX(Summary!$A$48:$A$57,MATCH(H18,Summary!$A$48:$A$57,1))))</f>
        <v>1</v>
      </c>
      <c r="J18" s="5" t="b">
        <f aca="false">AND(H18&gt;=F18,H18&lt;=G18)</f>
        <v>0</v>
      </c>
      <c r="K18" s="6" t="s">
        <v>93</v>
      </c>
      <c r="L18" s="2" t="n">
        <v>4</v>
      </c>
      <c r="M18" s="2" t="n">
        <v>5</v>
      </c>
      <c r="N18" s="2" t="n">
        <v>72</v>
      </c>
      <c r="O18" s="6" t="s">
        <v>124</v>
      </c>
      <c r="P18" s="2" t="n">
        <v>5</v>
      </c>
      <c r="Q18" s="2" t="n">
        <v>4</v>
      </c>
      <c r="R18" s="2" t="n">
        <v>2</v>
      </c>
      <c r="S18" s="2" t="n">
        <v>1</v>
      </c>
      <c r="T18" s="2" t="n">
        <f aca="false">SUM(P18:S18)</f>
        <v>12</v>
      </c>
      <c r="U18" s="6" t="s">
        <v>125</v>
      </c>
      <c r="V18" s="6" t="s">
        <v>126</v>
      </c>
      <c r="W18" s="2" t="s">
        <v>49</v>
      </c>
      <c r="X18" s="6" t="s">
        <v>97</v>
      </c>
      <c r="Y18" s="2" t="n">
        <v>24</v>
      </c>
      <c r="Z18" s="4" t="n">
        <f aca="false">Y18/2</f>
        <v>12</v>
      </c>
      <c r="AA18" s="2" t="n">
        <v>200</v>
      </c>
      <c r="AB18" s="2" t="n">
        <v>0</v>
      </c>
      <c r="AC18" s="2" t="n">
        <v>0</v>
      </c>
      <c r="AD18" s="6" t="s">
        <v>106</v>
      </c>
    </row>
    <row r="19" customFormat="false" ht="15" hidden="false" customHeight="false" outlineLevel="0" collapsed="false">
      <c r="A19" s="2" t="n">
        <v>18</v>
      </c>
      <c r="B19" s="2" t="s">
        <v>127</v>
      </c>
      <c r="C19" s="2" t="s">
        <v>88</v>
      </c>
      <c r="D19" s="2" t="n">
        <v>3</v>
      </c>
      <c r="E19" s="2" t="n">
        <v>3</v>
      </c>
      <c r="F19" s="3" t="n">
        <v>0.55</v>
      </c>
      <c r="G19" s="3" t="n">
        <v>0.75</v>
      </c>
      <c r="H19" s="3" t="n">
        <f aca="false">AA19/(AA19+AB19+AC19)</f>
        <v>1</v>
      </c>
      <c r="I19" s="4" t="n">
        <f aca="false">IF(H19&gt;=1,1,INDEX(Summary!$B$48:$B$57,MATCH(H19,Summary!$A$48:$A$57,1))+(H19-INDEX(Summary!$A$48:$A$57,MATCH(H19,Summary!$A$48:$A$57,1)))*(INDEX(Summary!$B$48:$B$57,MATCH(H19,Summary!$A$48:$A$57,1)+1)-INDEX(Summary!$B$48:$B$57,MATCH(H19,Summary!$A$48:$A$57,1)))/(INDEX(Summary!$A$48:$A$57,MATCH(H19,Summary!$A$48:$A$57,1)+1)-INDEX(Summary!$A$48:$A$57,MATCH(H19,Summary!$A$48:$A$57,1))))</f>
        <v>1</v>
      </c>
      <c r="J19" s="5" t="b">
        <f aca="false">AND(H19&gt;=F19,H19&lt;=G19)</f>
        <v>0</v>
      </c>
      <c r="K19" s="6" t="s">
        <v>68</v>
      </c>
      <c r="L19" s="2" t="n">
        <v>4</v>
      </c>
      <c r="M19" s="2" t="n">
        <v>5</v>
      </c>
      <c r="N19" s="2" t="n">
        <v>60</v>
      </c>
      <c r="O19" s="6" t="s">
        <v>128</v>
      </c>
      <c r="P19" s="2" t="n">
        <v>0</v>
      </c>
      <c r="Q19" s="2" t="n">
        <v>4</v>
      </c>
      <c r="R19" s="2" t="n">
        <v>3</v>
      </c>
      <c r="S19" s="2" t="n">
        <v>1</v>
      </c>
      <c r="T19" s="2" t="n">
        <f aca="false">SUM(P19:S19)</f>
        <v>8</v>
      </c>
      <c r="U19" s="2" t="s">
        <v>34</v>
      </c>
      <c r="V19" s="2" t="s">
        <v>34</v>
      </c>
      <c r="W19" s="2" t="s">
        <v>84</v>
      </c>
      <c r="X19" s="6" t="s">
        <v>129</v>
      </c>
      <c r="Y19" s="2" t="n">
        <v>13.6</v>
      </c>
      <c r="Z19" s="4" t="n">
        <f aca="false">Y19/2</f>
        <v>6.8</v>
      </c>
      <c r="AA19" s="2" t="n">
        <v>200</v>
      </c>
      <c r="AB19" s="2" t="n">
        <v>0</v>
      </c>
      <c r="AC19" s="2" t="n">
        <v>0</v>
      </c>
      <c r="AD19" s="2" t="s">
        <v>34</v>
      </c>
    </row>
    <row r="20" customFormat="false" ht="23.85" hidden="false" customHeight="false" outlineLevel="0" collapsed="false">
      <c r="A20" s="2" t="n">
        <v>19</v>
      </c>
      <c r="B20" s="2" t="s">
        <v>130</v>
      </c>
      <c r="C20" s="2" t="s">
        <v>81</v>
      </c>
      <c r="D20" s="2" t="n">
        <v>3</v>
      </c>
      <c r="E20" s="2" t="n">
        <v>6</v>
      </c>
      <c r="F20" s="3" t="n">
        <v>0.25</v>
      </c>
      <c r="G20" s="3" t="n">
        <v>0.4</v>
      </c>
      <c r="H20" s="3" t="n">
        <f aca="false">AA20/(AA20+AB20+AC20)</f>
        <v>0.4</v>
      </c>
      <c r="I20" s="4" t="n">
        <f aca="false">IF(H20&gt;=1,1,INDEX(Summary!$B$48:$B$57,MATCH(H20,Summary!$A$48:$A$57,1))+(H20-INDEX(Summary!$A$48:$A$57,MATCH(H20,Summary!$A$48:$A$57,1)))*(INDEX(Summary!$B$48:$B$57,MATCH(H20,Summary!$A$48:$A$57,1)+1)-INDEX(Summary!$B$48:$B$57,MATCH(H20,Summary!$A$48:$A$57,1)))/(INDEX(Summary!$A$48:$A$57,MATCH(H20,Summary!$A$48:$A$57,1)+1)-INDEX(Summary!$A$48:$A$57,MATCH(H20,Summary!$A$48:$A$57,1))))</f>
        <v>5.25</v>
      </c>
      <c r="J20" s="5" t="b">
        <f aca="false">AND(H20&gt;=F20,H20&lt;=G20)</f>
        <v>1</v>
      </c>
      <c r="K20" s="6" t="s">
        <v>103</v>
      </c>
      <c r="L20" s="2" t="n">
        <v>4</v>
      </c>
      <c r="M20" s="2" t="n">
        <v>6</v>
      </c>
      <c r="N20" s="2" t="n">
        <v>84</v>
      </c>
      <c r="O20" s="6" t="s">
        <v>131</v>
      </c>
      <c r="P20" s="2" t="n">
        <v>7</v>
      </c>
      <c r="Q20" s="2" t="n">
        <v>4</v>
      </c>
      <c r="R20" s="2" t="n">
        <v>1</v>
      </c>
      <c r="S20" s="2" t="n">
        <v>2</v>
      </c>
      <c r="T20" s="2" t="n">
        <f aca="false">SUM(P20:S20)</f>
        <v>14</v>
      </c>
      <c r="U20" s="6" t="s">
        <v>132</v>
      </c>
      <c r="V20" s="2" t="s">
        <v>34</v>
      </c>
      <c r="W20" s="6" t="s">
        <v>96</v>
      </c>
      <c r="X20" s="6" t="s">
        <v>133</v>
      </c>
      <c r="Y20" s="2" t="n">
        <v>28.5</v>
      </c>
      <c r="Z20" s="4" t="n">
        <f aca="false">Y20/2</f>
        <v>14.25</v>
      </c>
      <c r="AA20" s="2" t="n">
        <v>80</v>
      </c>
      <c r="AB20" s="2" t="n">
        <v>120</v>
      </c>
      <c r="AC20" s="2" t="n">
        <v>0</v>
      </c>
      <c r="AD20" s="6" t="s">
        <v>134</v>
      </c>
    </row>
    <row r="21" customFormat="false" ht="23.85" hidden="false" customHeight="false" outlineLevel="0" collapsed="false">
      <c r="A21" s="2" t="n">
        <v>20</v>
      </c>
      <c r="B21" s="2" t="s">
        <v>135</v>
      </c>
      <c r="C21" s="2" t="s">
        <v>92</v>
      </c>
      <c r="D21" s="2" t="n">
        <v>4</v>
      </c>
      <c r="E21" s="2" t="n">
        <v>8</v>
      </c>
      <c r="F21" s="3" t="n">
        <v>0.12</v>
      </c>
      <c r="G21" s="3" t="n">
        <v>0.22</v>
      </c>
      <c r="H21" s="3" t="n">
        <f aca="false">AA21/(AA21+AB21+AC21)</f>
        <v>0.14</v>
      </c>
      <c r="I21" s="4" t="n">
        <f aca="false">IF(H21&gt;=1,1,INDEX(Summary!$B$48:$B$57,MATCH(H21,Summary!$A$48:$A$57,1))+(H21-INDEX(Summary!$A$48:$A$57,MATCH(H21,Summary!$A$48:$A$57,1)))*(INDEX(Summary!$B$48:$B$57,MATCH(H21,Summary!$A$48:$A$57,1)+1)-INDEX(Summary!$B$48:$B$57,MATCH(H21,Summary!$A$48:$A$57,1)))/(INDEX(Summary!$A$48:$A$57,MATCH(H21,Summary!$A$48:$A$57,1)+1)-INDEX(Summary!$A$48:$A$57,MATCH(H21,Summary!$A$48:$A$57,1))))</f>
        <v>8.54545454545455</v>
      </c>
      <c r="J21" s="5" t="b">
        <f aca="false">AND(H21&gt;=F21,H21&lt;=G21)</f>
        <v>1</v>
      </c>
      <c r="K21" s="6" t="s">
        <v>136</v>
      </c>
      <c r="L21" s="2" t="n">
        <v>4</v>
      </c>
      <c r="M21" s="2" t="n">
        <v>7</v>
      </c>
      <c r="N21" s="2" t="n">
        <v>96</v>
      </c>
      <c r="O21" s="6" t="s">
        <v>137</v>
      </c>
      <c r="P21" s="2" t="n">
        <v>6</v>
      </c>
      <c r="Q21" s="2" t="n">
        <v>6</v>
      </c>
      <c r="R21" s="2" t="n">
        <v>3</v>
      </c>
      <c r="S21" s="2" t="n">
        <v>1</v>
      </c>
      <c r="T21" s="2" t="n">
        <f aca="false">SUM(P21:S21)</f>
        <v>16</v>
      </c>
      <c r="U21" s="6" t="s">
        <v>138</v>
      </c>
      <c r="V21" s="2" t="s">
        <v>34</v>
      </c>
      <c r="W21" s="6" t="s">
        <v>42</v>
      </c>
      <c r="X21" s="6" t="s">
        <v>139</v>
      </c>
      <c r="Y21" s="2" t="n">
        <v>25</v>
      </c>
      <c r="Z21" s="4" t="n">
        <f aca="false">Y21/2</f>
        <v>12.5</v>
      </c>
      <c r="AA21" s="2" t="n">
        <v>28</v>
      </c>
      <c r="AB21" s="2" t="n">
        <v>172</v>
      </c>
      <c r="AC21" s="2" t="n">
        <v>0</v>
      </c>
      <c r="AD21" s="6" t="s">
        <v>140</v>
      </c>
    </row>
    <row r="22" customFormat="false" ht="23.85" hidden="false" customHeight="false" outlineLevel="0" collapsed="false">
      <c r="A22" s="2" t="n">
        <v>21</v>
      </c>
      <c r="B22" s="2" t="s">
        <v>141</v>
      </c>
      <c r="C22" s="6" t="s">
        <v>142</v>
      </c>
      <c r="D22" s="2" t="n">
        <v>3</v>
      </c>
      <c r="E22" s="2" t="n">
        <v>5</v>
      </c>
      <c r="F22" s="3" t="n">
        <v>0.35</v>
      </c>
      <c r="G22" s="3" t="n">
        <v>0.5</v>
      </c>
      <c r="H22" s="3" t="n">
        <f aca="false">AA22/(AA22+AB22+AC22)</f>
        <v>0.665</v>
      </c>
      <c r="I22" s="4" t="n">
        <f aca="false">IF(H22&gt;=1,1,INDEX(Summary!$B$48:$B$57,MATCH(H22,Summary!$A$48:$A$57,1))+(H22-INDEX(Summary!$A$48:$A$57,MATCH(H22,Summary!$A$48:$A$57,1)))*(INDEX(Summary!$B$48:$B$57,MATCH(H22,Summary!$A$48:$A$57,1)+1)-INDEX(Summary!$B$48:$B$57,MATCH(H22,Summary!$A$48:$A$57,1)))/(INDEX(Summary!$A$48:$A$57,MATCH(H22,Summary!$A$48:$A$57,1)+1)-INDEX(Summary!$A$48:$A$57,MATCH(H22,Summary!$A$48:$A$57,1))))</f>
        <v>2.925</v>
      </c>
      <c r="J22" s="5" t="b">
        <f aca="false">AND(H22&gt;=F22,H22&lt;=G22)</f>
        <v>0</v>
      </c>
      <c r="K22" s="6" t="s">
        <v>93</v>
      </c>
      <c r="L22" s="2" t="n">
        <v>4</v>
      </c>
      <c r="M22" s="2" t="n">
        <v>6</v>
      </c>
      <c r="N22" s="2" t="n">
        <v>72</v>
      </c>
      <c r="O22" s="6" t="s">
        <v>143</v>
      </c>
      <c r="P22" s="2" t="n">
        <v>5</v>
      </c>
      <c r="Q22" s="2" t="n">
        <v>4</v>
      </c>
      <c r="R22" s="2" t="n">
        <v>2</v>
      </c>
      <c r="S22" s="2" t="n">
        <v>1</v>
      </c>
      <c r="T22" s="2" t="n">
        <f aca="false">SUM(P22:S22)</f>
        <v>12</v>
      </c>
      <c r="U22" s="6" t="s">
        <v>144</v>
      </c>
      <c r="V22" s="2" t="s">
        <v>34</v>
      </c>
      <c r="W22" s="2" t="s">
        <v>56</v>
      </c>
      <c r="X22" s="6" t="s">
        <v>114</v>
      </c>
      <c r="Y22" s="2" t="n">
        <v>17.8</v>
      </c>
      <c r="Z22" s="4" t="n">
        <f aca="false">Y22/2</f>
        <v>8.9</v>
      </c>
      <c r="AA22" s="2" t="n">
        <v>133</v>
      </c>
      <c r="AB22" s="2" t="n">
        <v>67</v>
      </c>
      <c r="AC22" s="2" t="n">
        <v>0</v>
      </c>
      <c r="AD22" s="6" t="s">
        <v>140</v>
      </c>
    </row>
    <row r="23" customFormat="false" ht="15" hidden="false" customHeight="false" outlineLevel="0" collapsed="false">
      <c r="A23" s="2" t="n">
        <v>22</v>
      </c>
      <c r="B23" s="2" t="s">
        <v>145</v>
      </c>
      <c r="C23" s="6" t="s">
        <v>146</v>
      </c>
      <c r="D23" s="2" t="n">
        <v>2</v>
      </c>
      <c r="E23" s="2" t="n">
        <v>3</v>
      </c>
      <c r="F23" s="3" t="n">
        <v>0.55</v>
      </c>
      <c r="G23" s="3" t="n">
        <v>0.75</v>
      </c>
      <c r="H23" s="3" t="n">
        <f aca="false">AA23/(AA23+AB23+AC23)</f>
        <v>1</v>
      </c>
      <c r="I23" s="4" t="n">
        <f aca="false">IF(H23&gt;=1,1,INDEX(Summary!$B$48:$B$57,MATCH(H23,Summary!$A$48:$A$57,1))+(H23-INDEX(Summary!$A$48:$A$57,MATCH(H23,Summary!$A$48:$A$57,1)))*(INDEX(Summary!$B$48:$B$57,MATCH(H23,Summary!$A$48:$A$57,1)+1)-INDEX(Summary!$B$48:$B$57,MATCH(H23,Summary!$A$48:$A$57,1)))/(INDEX(Summary!$A$48:$A$57,MATCH(H23,Summary!$A$48:$A$57,1)+1)-INDEX(Summary!$A$48:$A$57,MATCH(H23,Summary!$A$48:$A$57,1))))</f>
        <v>1</v>
      </c>
      <c r="J23" s="5" t="b">
        <f aca="false">AND(H23&gt;=F23,H23&lt;=G23)</f>
        <v>0</v>
      </c>
      <c r="K23" s="6" t="s">
        <v>61</v>
      </c>
      <c r="L23" s="2" t="n">
        <v>3</v>
      </c>
      <c r="M23" s="2" t="n">
        <v>5</v>
      </c>
      <c r="N23" s="2" t="n">
        <v>52</v>
      </c>
      <c r="O23" s="6" t="s">
        <v>147</v>
      </c>
      <c r="P23" s="2" t="n">
        <v>0</v>
      </c>
      <c r="Q23" s="2" t="n">
        <v>0</v>
      </c>
      <c r="R23" s="2" t="n">
        <v>5</v>
      </c>
      <c r="S23" s="2" t="n">
        <v>1</v>
      </c>
      <c r="T23" s="2" t="n">
        <f aca="false">SUM(P23:S23)</f>
        <v>6</v>
      </c>
      <c r="U23" s="6" t="s">
        <v>148</v>
      </c>
      <c r="V23" s="6" t="s">
        <v>149</v>
      </c>
      <c r="W23" s="2" t="s">
        <v>100</v>
      </c>
      <c r="X23" s="6" t="s">
        <v>90</v>
      </c>
      <c r="Y23" s="2" t="n">
        <v>11.7</v>
      </c>
      <c r="Z23" s="4" t="n">
        <f aca="false">Y23/2</f>
        <v>5.85</v>
      </c>
      <c r="AA23" s="2" t="n">
        <v>200</v>
      </c>
      <c r="AB23" s="2" t="n">
        <v>0</v>
      </c>
      <c r="AC23" s="2" t="n">
        <v>0</v>
      </c>
      <c r="AD23" s="6" t="s">
        <v>65</v>
      </c>
    </row>
    <row r="24" customFormat="false" ht="23.85" hidden="false" customHeight="false" outlineLevel="0" collapsed="false">
      <c r="A24" s="2" t="n">
        <v>23</v>
      </c>
      <c r="B24" s="2" t="s">
        <v>150</v>
      </c>
      <c r="C24" s="2" t="s">
        <v>67</v>
      </c>
      <c r="D24" s="2" t="n">
        <v>4</v>
      </c>
      <c r="E24" s="2" t="n">
        <v>7</v>
      </c>
      <c r="F24" s="3" t="n">
        <v>0.18</v>
      </c>
      <c r="G24" s="3" t="n">
        <v>0.3</v>
      </c>
      <c r="H24" s="3" t="n">
        <f aca="false">AA24/(AA24+AB24+AC24)</f>
        <v>0.22</v>
      </c>
      <c r="I24" s="4" t="n">
        <f aca="false">IF(H24&gt;=1,1,INDEX(Summary!$B$48:$B$57,MATCH(H24,Summary!$A$48:$A$57,1))+(H24-INDEX(Summary!$A$48:$A$57,MATCH(H24,Summary!$A$48:$A$57,1)))*(INDEX(Summary!$B$48:$B$57,MATCH(H24,Summary!$A$48:$A$57,1)+1)-INDEX(Summary!$B$48:$B$57,MATCH(H24,Summary!$A$48:$A$57,1)))/(INDEX(Summary!$A$48:$A$57,MATCH(H24,Summary!$A$48:$A$57,1)+1)-INDEX(Summary!$A$48:$A$57,MATCH(H24,Summary!$A$48:$A$57,1))))</f>
        <v>7.28571428571429</v>
      </c>
      <c r="J24" s="5" t="b">
        <f aca="false">AND(H24&gt;=F24,H24&lt;=G24)</f>
        <v>1</v>
      </c>
      <c r="K24" s="6" t="s">
        <v>103</v>
      </c>
      <c r="L24" s="2" t="n">
        <v>4</v>
      </c>
      <c r="M24" s="2" t="n">
        <v>7</v>
      </c>
      <c r="N24" s="2" t="n">
        <v>84</v>
      </c>
      <c r="O24" s="6" t="s">
        <v>151</v>
      </c>
      <c r="P24" s="2" t="n">
        <v>7</v>
      </c>
      <c r="Q24" s="2" t="n">
        <v>4</v>
      </c>
      <c r="R24" s="2" t="n">
        <v>1</v>
      </c>
      <c r="S24" s="2" t="n">
        <v>2</v>
      </c>
      <c r="T24" s="2" t="n">
        <f aca="false">SUM(P24:S24)</f>
        <v>14</v>
      </c>
      <c r="U24" s="6" t="s">
        <v>152</v>
      </c>
      <c r="V24" s="2" t="s">
        <v>34</v>
      </c>
      <c r="W24" s="2" t="s">
        <v>70</v>
      </c>
      <c r="X24" s="6" t="s">
        <v>105</v>
      </c>
      <c r="Y24" s="2" t="n">
        <v>29.6</v>
      </c>
      <c r="Z24" s="4" t="n">
        <f aca="false">Y24/2</f>
        <v>14.8</v>
      </c>
      <c r="AA24" s="2" t="n">
        <v>44</v>
      </c>
      <c r="AB24" s="2" t="n">
        <v>156</v>
      </c>
      <c r="AC24" s="2" t="n">
        <v>0</v>
      </c>
      <c r="AD24" s="6" t="s">
        <v>72</v>
      </c>
    </row>
    <row r="25" customFormat="false" ht="23.85" hidden="false" customHeight="false" outlineLevel="0" collapsed="false">
      <c r="A25" s="2" t="n">
        <v>24</v>
      </c>
      <c r="B25" s="2" t="s">
        <v>153</v>
      </c>
      <c r="C25" s="2" t="s">
        <v>60</v>
      </c>
      <c r="D25" s="2" t="n">
        <v>3</v>
      </c>
      <c r="E25" s="2" t="n">
        <v>4</v>
      </c>
      <c r="F25" s="3" t="n">
        <v>0.45</v>
      </c>
      <c r="G25" s="3" t="n">
        <v>0.6</v>
      </c>
      <c r="H25" s="3" t="n">
        <f aca="false">AA25/(AA25+AB25+AC25)</f>
        <v>1</v>
      </c>
      <c r="I25" s="4" t="n">
        <f aca="false">IF(H25&gt;=1,1,INDEX(Summary!$B$48:$B$57,MATCH(H25,Summary!$A$48:$A$57,1))+(H25-INDEX(Summary!$A$48:$A$57,MATCH(H25,Summary!$A$48:$A$57,1)))*(INDEX(Summary!$B$48:$B$57,MATCH(H25,Summary!$A$48:$A$57,1)+1)-INDEX(Summary!$B$48:$B$57,MATCH(H25,Summary!$A$48:$A$57,1)))/(INDEX(Summary!$A$48:$A$57,MATCH(H25,Summary!$A$48:$A$57,1)+1)-INDEX(Summary!$A$48:$A$57,MATCH(H25,Summary!$A$48:$A$57,1))))</f>
        <v>1</v>
      </c>
      <c r="J25" s="5" t="b">
        <f aca="false">AND(H25&gt;=F25,H25&lt;=G25)</f>
        <v>0</v>
      </c>
      <c r="K25" s="6" t="s">
        <v>103</v>
      </c>
      <c r="L25" s="2" t="n">
        <v>4</v>
      </c>
      <c r="M25" s="2" t="n">
        <v>6</v>
      </c>
      <c r="N25" s="2" t="n">
        <v>84</v>
      </c>
      <c r="O25" s="6" t="s">
        <v>154</v>
      </c>
      <c r="P25" s="2" t="n">
        <v>0</v>
      </c>
      <c r="Q25" s="2" t="n">
        <v>0</v>
      </c>
      <c r="R25" s="2" t="n">
        <v>6</v>
      </c>
      <c r="S25" s="2" t="n">
        <v>3</v>
      </c>
      <c r="T25" s="2" t="n">
        <f aca="false">SUM(P25:S25)</f>
        <v>9</v>
      </c>
      <c r="U25" s="6" t="s">
        <v>155</v>
      </c>
      <c r="V25" s="2" t="s">
        <v>34</v>
      </c>
      <c r="W25" s="6" t="s">
        <v>96</v>
      </c>
      <c r="X25" s="6" t="s">
        <v>118</v>
      </c>
      <c r="Y25" s="2" t="n">
        <v>18.5</v>
      </c>
      <c r="Z25" s="4" t="n">
        <f aca="false">Y25/2</f>
        <v>9.25</v>
      </c>
      <c r="AA25" s="2" t="n">
        <v>200</v>
      </c>
      <c r="AB25" s="2" t="n">
        <v>0</v>
      </c>
      <c r="AC25" s="2" t="n">
        <v>0</v>
      </c>
      <c r="AD25" s="6" t="s">
        <v>106</v>
      </c>
    </row>
    <row r="26" customFormat="false" ht="23.85" hidden="false" customHeight="false" outlineLevel="0" collapsed="false">
      <c r="A26" s="2" t="n">
        <v>25</v>
      </c>
      <c r="B26" s="2" t="s">
        <v>156</v>
      </c>
      <c r="C26" s="2" t="s">
        <v>67</v>
      </c>
      <c r="D26" s="2" t="n">
        <v>3</v>
      </c>
      <c r="E26" s="2" t="n">
        <v>8</v>
      </c>
      <c r="F26" s="3" t="n">
        <v>0.12</v>
      </c>
      <c r="G26" s="3" t="n">
        <v>0.22</v>
      </c>
      <c r="H26" s="3" t="n">
        <f aca="false">AA26/(AA26+AB26+AC26)</f>
        <v>0.135</v>
      </c>
      <c r="I26" s="4" t="n">
        <f aca="false">IF(H26&gt;=1,1,INDEX(Summary!$B$48:$B$57,MATCH(H26,Summary!$A$48:$A$57,1))+(H26-INDEX(Summary!$A$48:$A$57,MATCH(H26,Summary!$A$48:$A$57,1)))*(INDEX(Summary!$B$48:$B$57,MATCH(H26,Summary!$A$48:$A$57,1)+1)-INDEX(Summary!$B$48:$B$57,MATCH(H26,Summary!$A$48:$A$57,1)))/(INDEX(Summary!$A$48:$A$57,MATCH(H26,Summary!$A$48:$A$57,1)+1)-INDEX(Summary!$A$48:$A$57,MATCH(H26,Summary!$A$48:$A$57,1))))</f>
        <v>8.63636363636364</v>
      </c>
      <c r="J26" s="5" t="b">
        <f aca="false">AND(H26&gt;=F26,H26&lt;=G26)</f>
        <v>1</v>
      </c>
      <c r="K26" s="6" t="s">
        <v>136</v>
      </c>
      <c r="L26" s="2" t="n">
        <v>4</v>
      </c>
      <c r="M26" s="2" t="n">
        <v>7</v>
      </c>
      <c r="N26" s="2" t="n">
        <v>96</v>
      </c>
      <c r="O26" s="6" t="s">
        <v>157</v>
      </c>
      <c r="P26" s="2" t="n">
        <v>5</v>
      </c>
      <c r="Q26" s="2" t="n">
        <v>2</v>
      </c>
      <c r="R26" s="2" t="n">
        <v>2</v>
      </c>
      <c r="S26" s="2" t="n">
        <v>4</v>
      </c>
      <c r="T26" s="2" t="n">
        <f aca="false">SUM(P26:S26)</f>
        <v>13</v>
      </c>
      <c r="U26" s="6" t="s">
        <v>158</v>
      </c>
      <c r="V26" s="2" t="s">
        <v>34</v>
      </c>
      <c r="W26" s="2" t="s">
        <v>49</v>
      </c>
      <c r="X26" s="6" t="s">
        <v>159</v>
      </c>
      <c r="Y26" s="2" t="n">
        <v>33.6</v>
      </c>
      <c r="Z26" s="4" t="n">
        <f aca="false">Y26/2</f>
        <v>16.8</v>
      </c>
      <c r="AA26" s="2" t="n">
        <v>27</v>
      </c>
      <c r="AB26" s="2" t="n">
        <v>173</v>
      </c>
      <c r="AC26" s="2" t="n">
        <v>0</v>
      </c>
      <c r="AD26" s="6" t="s">
        <v>160</v>
      </c>
    </row>
    <row r="27" customFormat="false" ht="23.85" hidden="false" customHeight="false" outlineLevel="0" collapsed="false">
      <c r="A27" s="2" t="n">
        <v>26</v>
      </c>
      <c r="B27" s="2" t="s">
        <v>161</v>
      </c>
      <c r="C27" s="6" t="s">
        <v>74</v>
      </c>
      <c r="D27" s="2" t="n">
        <v>3</v>
      </c>
      <c r="E27" s="2" t="n">
        <v>3</v>
      </c>
      <c r="F27" s="3" t="n">
        <v>0.55</v>
      </c>
      <c r="G27" s="3" t="n">
        <v>0.75</v>
      </c>
      <c r="H27" s="3" t="n">
        <f aca="false">AA27/(AA27+AB27+AC27)</f>
        <v>0.965</v>
      </c>
      <c r="I27" s="4" t="n">
        <f aca="false">IF(H27&gt;=1,1,INDEX(Summary!$B$48:$B$57,MATCH(H27,Summary!$A$48:$A$57,1))+(H27-INDEX(Summary!$A$48:$A$57,MATCH(H27,Summary!$A$48:$A$57,1)))*(INDEX(Summary!$B$48:$B$57,MATCH(H27,Summary!$A$48:$A$57,1)+1)-INDEX(Summary!$B$48:$B$57,MATCH(H27,Summary!$A$48:$A$57,1)))/(INDEX(Summary!$A$48:$A$57,MATCH(H27,Summary!$A$48:$A$57,1)+1)-INDEX(Summary!$A$48:$A$57,MATCH(H27,Summary!$A$48:$A$57,1))))</f>
        <v>1.23333333333333</v>
      </c>
      <c r="J27" s="5" t="b">
        <f aca="false">AND(H27&gt;=F27,H27&lt;=G27)</f>
        <v>0</v>
      </c>
      <c r="K27" s="6" t="s">
        <v>93</v>
      </c>
      <c r="L27" s="2" t="n">
        <v>4</v>
      </c>
      <c r="M27" s="2" t="n">
        <v>6</v>
      </c>
      <c r="N27" s="2" t="n">
        <v>72</v>
      </c>
      <c r="O27" s="6" t="s">
        <v>162</v>
      </c>
      <c r="P27" s="2" t="n">
        <v>0</v>
      </c>
      <c r="Q27" s="2" t="n">
        <v>4</v>
      </c>
      <c r="R27" s="2" t="n">
        <v>3</v>
      </c>
      <c r="S27" s="2" t="n">
        <v>2</v>
      </c>
      <c r="T27" s="2" t="n">
        <f aca="false">SUM(P27:S27)</f>
        <v>9</v>
      </c>
      <c r="U27" s="6" t="s">
        <v>163</v>
      </c>
      <c r="V27" s="6" t="s">
        <v>164</v>
      </c>
      <c r="W27" s="6" t="s">
        <v>42</v>
      </c>
      <c r="X27" s="6" t="s">
        <v>97</v>
      </c>
      <c r="Y27" s="2" t="n">
        <v>16.1</v>
      </c>
      <c r="Z27" s="4" t="n">
        <f aca="false">Y27/2</f>
        <v>8.05</v>
      </c>
      <c r="AA27" s="2" t="n">
        <v>193</v>
      </c>
      <c r="AB27" s="2" t="n">
        <v>7</v>
      </c>
      <c r="AC27" s="2" t="n">
        <v>0</v>
      </c>
      <c r="AD27" s="6" t="s">
        <v>106</v>
      </c>
    </row>
    <row r="28" customFormat="false" ht="23.85" hidden="false" customHeight="false" outlineLevel="0" collapsed="false">
      <c r="A28" s="2" t="n">
        <v>27</v>
      </c>
      <c r="B28" s="2" t="s">
        <v>165</v>
      </c>
      <c r="C28" s="2" t="s">
        <v>81</v>
      </c>
      <c r="D28" s="2" t="n">
        <v>3</v>
      </c>
      <c r="E28" s="2" t="n">
        <v>6</v>
      </c>
      <c r="F28" s="3" t="n">
        <v>0.25</v>
      </c>
      <c r="G28" s="3" t="n">
        <v>0.4</v>
      </c>
      <c r="H28" s="3" t="n">
        <f aca="false">AA28/(AA28+AB28+AC28)</f>
        <v>0.31</v>
      </c>
      <c r="I28" s="4" t="n">
        <f aca="false">IF(H28&gt;=1,1,INDEX(Summary!$B$48:$B$57,MATCH(H28,Summary!$A$48:$A$57,1))+(H28-INDEX(Summary!$A$48:$A$57,MATCH(H28,Summary!$A$48:$A$57,1)))*(INDEX(Summary!$B$48:$B$57,MATCH(H28,Summary!$A$48:$A$57,1)+1)-INDEX(Summary!$B$48:$B$57,MATCH(H28,Summary!$A$48:$A$57,1)))/(INDEX(Summary!$A$48:$A$57,MATCH(H28,Summary!$A$48:$A$57,1)+1)-INDEX(Summary!$A$48:$A$57,MATCH(H28,Summary!$A$48:$A$57,1))))</f>
        <v>6.17647058823529</v>
      </c>
      <c r="J28" s="5" t="b">
        <f aca="false">AND(H28&gt;=F28,H28&lt;=G28)</f>
        <v>1</v>
      </c>
      <c r="K28" s="6" t="s">
        <v>103</v>
      </c>
      <c r="L28" s="2" t="n">
        <v>4</v>
      </c>
      <c r="M28" s="2" t="n">
        <v>6</v>
      </c>
      <c r="N28" s="2" t="n">
        <v>84</v>
      </c>
      <c r="O28" s="6" t="s">
        <v>166</v>
      </c>
      <c r="P28" s="2" t="n">
        <v>5</v>
      </c>
      <c r="Q28" s="2" t="n">
        <v>4</v>
      </c>
      <c r="R28" s="2" t="n">
        <v>2</v>
      </c>
      <c r="S28" s="2" t="n">
        <v>2</v>
      </c>
      <c r="T28" s="2" t="n">
        <f aca="false">SUM(P28:S28)</f>
        <v>13</v>
      </c>
      <c r="U28" s="6" t="s">
        <v>167</v>
      </c>
      <c r="V28" s="2" t="s">
        <v>34</v>
      </c>
      <c r="W28" s="2" t="s">
        <v>84</v>
      </c>
      <c r="X28" s="6" t="s">
        <v>133</v>
      </c>
      <c r="Y28" s="2" t="n">
        <v>30.8</v>
      </c>
      <c r="Z28" s="4" t="n">
        <f aca="false">Y28/2</f>
        <v>15.4</v>
      </c>
      <c r="AA28" s="2" t="n">
        <v>62</v>
      </c>
      <c r="AB28" s="2" t="n">
        <v>138</v>
      </c>
      <c r="AC28" s="2" t="n">
        <v>0</v>
      </c>
      <c r="AD28" s="6" t="s">
        <v>86</v>
      </c>
    </row>
    <row r="29" customFormat="false" ht="23.85" hidden="false" customHeight="false" outlineLevel="0" collapsed="false">
      <c r="A29" s="2" t="n">
        <v>28</v>
      </c>
      <c r="B29" s="2" t="s">
        <v>168</v>
      </c>
      <c r="C29" s="2" t="s">
        <v>88</v>
      </c>
      <c r="D29" s="2" t="n">
        <v>3</v>
      </c>
      <c r="E29" s="2" t="n">
        <v>3</v>
      </c>
      <c r="F29" s="3" t="n">
        <v>0.55</v>
      </c>
      <c r="G29" s="3" t="n">
        <v>0.75</v>
      </c>
      <c r="H29" s="3" t="n">
        <f aca="false">AA29/(AA29+AB29+AC29)</f>
        <v>1</v>
      </c>
      <c r="I29" s="4" t="n">
        <f aca="false">IF(H29&gt;=1,1,INDEX(Summary!$B$48:$B$57,MATCH(H29,Summary!$A$48:$A$57,1))+(H29-INDEX(Summary!$A$48:$A$57,MATCH(H29,Summary!$A$48:$A$57,1)))*(INDEX(Summary!$B$48:$B$57,MATCH(H29,Summary!$A$48:$A$57,1)+1)-INDEX(Summary!$B$48:$B$57,MATCH(H29,Summary!$A$48:$A$57,1)))/(INDEX(Summary!$A$48:$A$57,MATCH(H29,Summary!$A$48:$A$57,1)+1)-INDEX(Summary!$A$48:$A$57,MATCH(H29,Summary!$A$48:$A$57,1))))</f>
        <v>1</v>
      </c>
      <c r="J29" s="5" t="b">
        <f aca="false">AND(H29&gt;=F29,H29&lt;=G29)</f>
        <v>0</v>
      </c>
      <c r="K29" s="6" t="s">
        <v>93</v>
      </c>
      <c r="L29" s="2" t="n">
        <v>4</v>
      </c>
      <c r="M29" s="2" t="n">
        <v>5</v>
      </c>
      <c r="N29" s="2" t="n">
        <v>72</v>
      </c>
      <c r="O29" s="6" t="s">
        <v>169</v>
      </c>
      <c r="P29" s="2" t="n">
        <v>0</v>
      </c>
      <c r="Q29" s="2" t="n">
        <v>0</v>
      </c>
      <c r="R29" s="2" t="n">
        <v>6</v>
      </c>
      <c r="S29" s="2" t="n">
        <v>2</v>
      </c>
      <c r="T29" s="2" t="n">
        <f aca="false">SUM(P29:S29)</f>
        <v>8</v>
      </c>
      <c r="U29" s="6" t="s">
        <v>170</v>
      </c>
      <c r="V29" s="2" t="s">
        <v>34</v>
      </c>
      <c r="W29" s="2" t="s">
        <v>56</v>
      </c>
      <c r="X29" s="6" t="s">
        <v>114</v>
      </c>
      <c r="Y29" s="2" t="n">
        <v>13.6</v>
      </c>
      <c r="Z29" s="4" t="n">
        <f aca="false">Y29/2</f>
        <v>6.8</v>
      </c>
      <c r="AA29" s="2" t="n">
        <v>200</v>
      </c>
      <c r="AB29" s="2" t="n">
        <v>0</v>
      </c>
      <c r="AC29" s="2" t="n">
        <v>0</v>
      </c>
      <c r="AD29" s="6" t="s">
        <v>140</v>
      </c>
    </row>
    <row r="30" customFormat="false" ht="35.05" hidden="false" customHeight="false" outlineLevel="0" collapsed="false">
      <c r="A30" s="2" t="n">
        <v>29</v>
      </c>
      <c r="B30" s="2" t="s">
        <v>171</v>
      </c>
      <c r="C30" s="2" t="s">
        <v>67</v>
      </c>
      <c r="D30" s="2" t="n">
        <v>3</v>
      </c>
      <c r="E30" s="2" t="n">
        <v>7</v>
      </c>
      <c r="F30" s="3" t="n">
        <v>0.18</v>
      </c>
      <c r="G30" s="3" t="n">
        <v>0.3</v>
      </c>
      <c r="H30" s="3" t="n">
        <f aca="false">AA30/(AA30+AB30+AC30)</f>
        <v>0.205</v>
      </c>
      <c r="I30" s="4" t="n">
        <f aca="false">IF(H30&gt;=1,1,INDEX(Summary!$B$48:$B$57,MATCH(H30,Summary!$A$48:$A$57,1))+(H30-INDEX(Summary!$A$48:$A$57,MATCH(H30,Summary!$A$48:$A$57,1)))*(INDEX(Summary!$B$48:$B$57,MATCH(H30,Summary!$A$48:$A$57,1)+1)-INDEX(Summary!$B$48:$B$57,MATCH(H30,Summary!$A$48:$A$57,1)))/(INDEX(Summary!$A$48:$A$57,MATCH(H30,Summary!$A$48:$A$57,1)+1)-INDEX(Summary!$A$48:$A$57,MATCH(H30,Summary!$A$48:$A$57,1))))</f>
        <v>7.5</v>
      </c>
      <c r="J30" s="5" t="b">
        <f aca="false">AND(H30&gt;=F30,H30&lt;=G30)</f>
        <v>1</v>
      </c>
      <c r="K30" s="6" t="s">
        <v>172</v>
      </c>
      <c r="L30" s="2" t="n">
        <v>4</v>
      </c>
      <c r="M30" s="2" t="n">
        <v>7</v>
      </c>
      <c r="N30" s="2" t="n">
        <v>96</v>
      </c>
      <c r="O30" s="6" t="s">
        <v>173</v>
      </c>
      <c r="P30" s="2" t="n">
        <v>8</v>
      </c>
      <c r="Q30" s="2" t="n">
        <v>4</v>
      </c>
      <c r="R30" s="2" t="n">
        <v>2</v>
      </c>
      <c r="S30" s="2" t="n">
        <v>2</v>
      </c>
      <c r="T30" s="2" t="n">
        <f aca="false">SUM(P30:S30)</f>
        <v>16</v>
      </c>
      <c r="U30" s="6" t="s">
        <v>174</v>
      </c>
      <c r="V30" s="2" t="s">
        <v>34</v>
      </c>
      <c r="W30" s="6" t="s">
        <v>96</v>
      </c>
      <c r="X30" s="6" t="s">
        <v>159</v>
      </c>
      <c r="Y30" s="2" t="n">
        <v>35.6</v>
      </c>
      <c r="Z30" s="4" t="n">
        <f aca="false">Y30/2</f>
        <v>17.8</v>
      </c>
      <c r="AA30" s="2" t="n">
        <v>41</v>
      </c>
      <c r="AB30" s="2" t="n">
        <v>159</v>
      </c>
      <c r="AC30" s="2" t="n">
        <v>0</v>
      </c>
      <c r="AD30" s="6" t="s">
        <v>175</v>
      </c>
    </row>
    <row r="31" customFormat="false" ht="23.85" hidden="false" customHeight="false" outlineLevel="0" collapsed="false">
      <c r="A31" s="2" t="n">
        <v>30</v>
      </c>
      <c r="B31" s="2" t="s">
        <v>176</v>
      </c>
      <c r="C31" s="2" t="s">
        <v>92</v>
      </c>
      <c r="D31" s="2" t="n">
        <v>3</v>
      </c>
      <c r="E31" s="2" t="n">
        <v>9</v>
      </c>
      <c r="F31" s="3" t="n">
        <v>0.08</v>
      </c>
      <c r="G31" s="3" t="n">
        <v>0.15</v>
      </c>
      <c r="H31" s="3" t="n">
        <f aca="false">AA31/(AA31+AB31+AC31)</f>
        <v>0.095</v>
      </c>
      <c r="I31" s="4" t="n">
        <f aca="false">IF(H31&gt;=1,1,INDEX(Summary!$B$48:$B$57,MATCH(H31,Summary!$A$48:$A$57,1))+(H31-INDEX(Summary!$A$48:$A$57,MATCH(H31,Summary!$A$48:$A$57,1)))*(INDEX(Summary!$B$48:$B$57,MATCH(H31,Summary!$A$48:$A$57,1)+1)-INDEX(Summary!$B$48:$B$57,MATCH(H31,Summary!$A$48:$A$57,1)))/(INDEX(Summary!$A$48:$A$57,MATCH(H31,Summary!$A$48:$A$57,1)+1)-INDEX(Summary!$A$48:$A$57,MATCH(H31,Summary!$A$48:$A$57,1))))</f>
        <v>9.17391304347826</v>
      </c>
      <c r="J31" s="5" t="b">
        <f aca="false">AND(H31&gt;=F31,H31&lt;=G31)</f>
        <v>1</v>
      </c>
      <c r="K31" s="6" t="s">
        <v>136</v>
      </c>
      <c r="L31" s="2" t="n">
        <v>4</v>
      </c>
      <c r="M31" s="2" t="n">
        <v>8</v>
      </c>
      <c r="N31" s="2" t="n">
        <v>96</v>
      </c>
      <c r="O31" s="6" t="s">
        <v>177</v>
      </c>
      <c r="P31" s="2" t="n">
        <v>6</v>
      </c>
      <c r="Q31" s="2" t="n">
        <v>6</v>
      </c>
      <c r="R31" s="2" t="n">
        <v>3</v>
      </c>
      <c r="S31" s="2" t="n">
        <v>1</v>
      </c>
      <c r="T31" s="2" t="n">
        <f aca="false">SUM(P31:S31)</f>
        <v>16</v>
      </c>
      <c r="U31" s="6" t="s">
        <v>178</v>
      </c>
      <c r="V31" s="2" t="s">
        <v>34</v>
      </c>
      <c r="W31" s="2" t="s">
        <v>100</v>
      </c>
      <c r="X31" s="6" t="s">
        <v>159</v>
      </c>
      <c r="Y31" s="2" t="n">
        <v>27.9</v>
      </c>
      <c r="Z31" s="4" t="n">
        <f aca="false">Y31/2</f>
        <v>13.95</v>
      </c>
      <c r="AA31" s="2" t="n">
        <v>19</v>
      </c>
      <c r="AB31" s="2" t="n">
        <v>181</v>
      </c>
      <c r="AC31" s="2" t="n">
        <v>0</v>
      </c>
      <c r="AD31" s="6" t="s">
        <v>106</v>
      </c>
    </row>
    <row r="32" customFormat="false" ht="15" hidden="false" customHeight="false" outlineLevel="0" collapsed="false">
      <c r="A32" s="2" t="n">
        <v>31</v>
      </c>
      <c r="B32" s="2" t="s">
        <v>179</v>
      </c>
      <c r="C32" s="2" t="s">
        <v>88</v>
      </c>
      <c r="D32" s="2" t="n">
        <v>2</v>
      </c>
      <c r="E32" s="2" t="n">
        <v>3</v>
      </c>
      <c r="F32" s="3" t="n">
        <v>0.55</v>
      </c>
      <c r="G32" s="3" t="n">
        <v>0.75</v>
      </c>
      <c r="H32" s="3" t="n">
        <f aca="false">AA32/(AA32+AB32+AC32)</f>
        <v>1</v>
      </c>
      <c r="I32" s="4" t="n">
        <f aca="false">IF(H32&gt;=1,1,INDEX(Summary!$B$48:$B$57,MATCH(H32,Summary!$A$48:$A$57,1))+(H32-INDEX(Summary!$A$48:$A$57,MATCH(H32,Summary!$A$48:$A$57,1)))*(INDEX(Summary!$B$48:$B$57,MATCH(H32,Summary!$A$48:$A$57,1)+1)-INDEX(Summary!$B$48:$B$57,MATCH(H32,Summary!$A$48:$A$57,1)))/(INDEX(Summary!$A$48:$A$57,MATCH(H32,Summary!$A$48:$A$57,1)+1)-INDEX(Summary!$A$48:$A$57,MATCH(H32,Summary!$A$48:$A$57,1))))</f>
        <v>1</v>
      </c>
      <c r="J32" s="5" t="b">
        <f aca="false">AND(H32&gt;=F32,H32&lt;=G32)</f>
        <v>0</v>
      </c>
      <c r="K32" s="6" t="s">
        <v>93</v>
      </c>
      <c r="L32" s="2" t="n">
        <v>4</v>
      </c>
      <c r="M32" s="2" t="n">
        <v>5</v>
      </c>
      <c r="N32" s="2" t="n">
        <v>72</v>
      </c>
      <c r="O32" s="6" t="s">
        <v>180</v>
      </c>
      <c r="P32" s="2" t="n">
        <v>0</v>
      </c>
      <c r="Q32" s="2" t="n">
        <v>0</v>
      </c>
      <c r="R32" s="2" t="n">
        <v>6</v>
      </c>
      <c r="S32" s="2" t="n">
        <v>2</v>
      </c>
      <c r="T32" s="2" t="n">
        <f aca="false">SUM(P32:S32)</f>
        <v>8</v>
      </c>
      <c r="U32" s="6" t="s">
        <v>83</v>
      </c>
      <c r="V32" s="2" t="s">
        <v>34</v>
      </c>
      <c r="W32" s="2" t="s">
        <v>70</v>
      </c>
      <c r="X32" s="6" t="s">
        <v>181</v>
      </c>
      <c r="Y32" s="2" t="n">
        <v>13.8</v>
      </c>
      <c r="Z32" s="4" t="n">
        <f aca="false">Y32/2</f>
        <v>6.9</v>
      </c>
      <c r="AA32" s="2" t="n">
        <v>200</v>
      </c>
      <c r="AB32" s="2" t="n">
        <v>0</v>
      </c>
      <c r="AC32" s="2" t="n">
        <v>0</v>
      </c>
      <c r="AD32" s="6" t="s">
        <v>182</v>
      </c>
    </row>
    <row r="33" customFormat="false" ht="23.85" hidden="false" customHeight="false" outlineLevel="0" collapsed="false">
      <c r="A33" s="2" t="n">
        <v>32</v>
      </c>
      <c r="B33" s="2" t="s">
        <v>183</v>
      </c>
      <c r="C33" s="6" t="s">
        <v>74</v>
      </c>
      <c r="D33" s="2" t="n">
        <v>3</v>
      </c>
      <c r="E33" s="2" t="n">
        <v>4</v>
      </c>
      <c r="F33" s="3" t="n">
        <v>0.45</v>
      </c>
      <c r="G33" s="3" t="n">
        <v>0.6</v>
      </c>
      <c r="H33" s="3" t="n">
        <f aca="false">AA33/(AA33+AB33+AC33)</f>
        <v>1</v>
      </c>
      <c r="I33" s="4" t="n">
        <f aca="false">IF(H33&gt;=1,1,INDEX(Summary!$B$48:$B$57,MATCH(H33,Summary!$A$48:$A$57,1))+(H33-INDEX(Summary!$A$48:$A$57,MATCH(H33,Summary!$A$48:$A$57,1)))*(INDEX(Summary!$B$48:$B$57,MATCH(H33,Summary!$A$48:$A$57,1)+1)-INDEX(Summary!$B$48:$B$57,MATCH(H33,Summary!$A$48:$A$57,1)))/(INDEX(Summary!$A$48:$A$57,MATCH(H33,Summary!$A$48:$A$57,1)+1)-INDEX(Summary!$A$48:$A$57,MATCH(H33,Summary!$A$48:$A$57,1))))</f>
        <v>1</v>
      </c>
      <c r="J33" s="5" t="b">
        <f aca="false">AND(H33&gt;=F33,H33&lt;=G33)</f>
        <v>0</v>
      </c>
      <c r="K33" s="6" t="s">
        <v>93</v>
      </c>
      <c r="L33" s="2" t="n">
        <v>4</v>
      </c>
      <c r="M33" s="2" t="n">
        <v>6</v>
      </c>
      <c r="N33" s="2" t="n">
        <v>72</v>
      </c>
      <c r="O33" s="6" t="s">
        <v>184</v>
      </c>
      <c r="P33" s="2" t="n">
        <v>0</v>
      </c>
      <c r="Q33" s="2" t="n">
        <v>4</v>
      </c>
      <c r="R33" s="2" t="n">
        <v>3</v>
      </c>
      <c r="S33" s="2" t="n">
        <v>2</v>
      </c>
      <c r="T33" s="2" t="n">
        <f aca="false">SUM(P33:S33)</f>
        <v>9</v>
      </c>
      <c r="U33" s="6" t="s">
        <v>185</v>
      </c>
      <c r="V33" s="6" t="s">
        <v>186</v>
      </c>
      <c r="W33" s="2" t="s">
        <v>49</v>
      </c>
      <c r="X33" s="6" t="s">
        <v>97</v>
      </c>
      <c r="Y33" s="2" t="n">
        <v>18</v>
      </c>
      <c r="Z33" s="4" t="n">
        <f aca="false">Y33/2</f>
        <v>9</v>
      </c>
      <c r="AA33" s="2" t="n">
        <v>200</v>
      </c>
      <c r="AB33" s="2" t="n">
        <v>0</v>
      </c>
      <c r="AC33" s="2" t="n">
        <v>0</v>
      </c>
      <c r="AD33" s="6" t="s">
        <v>106</v>
      </c>
    </row>
    <row r="34" customFormat="false" ht="23.85" hidden="false" customHeight="false" outlineLevel="0" collapsed="false">
      <c r="A34" s="2" t="n">
        <v>33</v>
      </c>
      <c r="B34" s="2" t="s">
        <v>187</v>
      </c>
      <c r="C34" s="2" t="s">
        <v>81</v>
      </c>
      <c r="D34" s="2" t="n">
        <v>3</v>
      </c>
      <c r="E34" s="2" t="n">
        <v>6</v>
      </c>
      <c r="F34" s="3" t="n">
        <v>0.25</v>
      </c>
      <c r="G34" s="3" t="n">
        <v>0.4</v>
      </c>
      <c r="H34" s="3" t="n">
        <f aca="false">AA34/(AA34+AB34+AC34)</f>
        <v>0.285</v>
      </c>
      <c r="I34" s="4" t="n">
        <f aca="false">IF(H34&gt;=1,1,INDEX(Summary!$B$48:$B$57,MATCH(H34,Summary!$A$48:$A$57,1))+(H34-INDEX(Summary!$A$48:$A$57,MATCH(H34,Summary!$A$48:$A$57,1)))*(INDEX(Summary!$B$48:$B$57,MATCH(H34,Summary!$A$48:$A$57,1)+1)-INDEX(Summary!$B$48:$B$57,MATCH(H34,Summary!$A$48:$A$57,1)))/(INDEX(Summary!$A$48:$A$57,MATCH(H34,Summary!$A$48:$A$57,1)+1)-INDEX(Summary!$A$48:$A$57,MATCH(H34,Summary!$A$48:$A$57,1))))</f>
        <v>6.47058823529412</v>
      </c>
      <c r="J34" s="5" t="b">
        <f aca="false">AND(H34&gt;=F34,H34&lt;=G34)</f>
        <v>1</v>
      </c>
      <c r="K34" s="6" t="s">
        <v>103</v>
      </c>
      <c r="L34" s="2" t="n">
        <v>4</v>
      </c>
      <c r="M34" s="2" t="n">
        <v>7</v>
      </c>
      <c r="N34" s="2" t="n">
        <v>84</v>
      </c>
      <c r="O34" s="6" t="s">
        <v>188</v>
      </c>
      <c r="P34" s="2" t="n">
        <v>5</v>
      </c>
      <c r="Q34" s="2" t="n">
        <v>6</v>
      </c>
      <c r="R34" s="2" t="n">
        <v>2</v>
      </c>
      <c r="S34" s="2" t="n">
        <v>1</v>
      </c>
      <c r="T34" s="2" t="n">
        <f aca="false">SUM(P34:S34)</f>
        <v>14</v>
      </c>
      <c r="U34" s="6" t="s">
        <v>189</v>
      </c>
      <c r="V34" s="2" t="s">
        <v>34</v>
      </c>
      <c r="W34" s="6" t="s">
        <v>42</v>
      </c>
      <c r="X34" s="6" t="s">
        <v>105</v>
      </c>
      <c r="Y34" s="2" t="n">
        <v>28.9</v>
      </c>
      <c r="Z34" s="4" t="n">
        <f aca="false">Y34/2</f>
        <v>14.45</v>
      </c>
      <c r="AA34" s="2" t="n">
        <v>57</v>
      </c>
      <c r="AB34" s="2" t="n">
        <v>143</v>
      </c>
      <c r="AC34" s="2" t="n">
        <v>0</v>
      </c>
      <c r="AD34" s="6" t="s">
        <v>106</v>
      </c>
    </row>
    <row r="35" customFormat="false" ht="23.85" hidden="false" customHeight="false" outlineLevel="0" collapsed="false">
      <c r="A35" s="2" t="n">
        <v>34</v>
      </c>
      <c r="B35" s="2" t="s">
        <v>190</v>
      </c>
      <c r="C35" s="2" t="s">
        <v>60</v>
      </c>
      <c r="D35" s="2" t="n">
        <v>3</v>
      </c>
      <c r="E35" s="2" t="n">
        <v>4</v>
      </c>
      <c r="F35" s="3" t="n">
        <v>0.45</v>
      </c>
      <c r="G35" s="3" t="n">
        <v>0.6</v>
      </c>
      <c r="H35" s="3" t="n">
        <f aca="false">AA35/(AA35+AB35+AC35)</f>
        <v>1</v>
      </c>
      <c r="I35" s="4" t="n">
        <f aca="false">IF(H35&gt;=1,1,INDEX(Summary!$B$48:$B$57,MATCH(H35,Summary!$A$48:$A$57,1))+(H35-INDEX(Summary!$A$48:$A$57,MATCH(H35,Summary!$A$48:$A$57,1)))*(INDEX(Summary!$B$48:$B$57,MATCH(H35,Summary!$A$48:$A$57,1)+1)-INDEX(Summary!$B$48:$B$57,MATCH(H35,Summary!$A$48:$A$57,1)))/(INDEX(Summary!$A$48:$A$57,MATCH(H35,Summary!$A$48:$A$57,1)+1)-INDEX(Summary!$A$48:$A$57,MATCH(H35,Summary!$A$48:$A$57,1))))</f>
        <v>1</v>
      </c>
      <c r="J35" s="5" t="b">
        <f aca="false">AND(H35&gt;=F35,H35&lt;=G35)</f>
        <v>0</v>
      </c>
      <c r="K35" s="6" t="s">
        <v>103</v>
      </c>
      <c r="L35" s="2" t="n">
        <v>4</v>
      </c>
      <c r="M35" s="2" t="n">
        <v>6</v>
      </c>
      <c r="N35" s="2" t="n">
        <v>84</v>
      </c>
      <c r="O35" s="6" t="s">
        <v>191</v>
      </c>
      <c r="P35" s="2" t="n">
        <v>0</v>
      </c>
      <c r="Q35" s="2" t="n">
        <v>0</v>
      </c>
      <c r="R35" s="2" t="n">
        <v>6</v>
      </c>
      <c r="S35" s="2" t="n">
        <v>3</v>
      </c>
      <c r="T35" s="2" t="n">
        <f aca="false">SUM(P35:S35)</f>
        <v>9</v>
      </c>
      <c r="U35" s="6" t="s">
        <v>192</v>
      </c>
      <c r="V35" s="2" t="s">
        <v>34</v>
      </c>
      <c r="W35" s="2" t="s">
        <v>84</v>
      </c>
      <c r="X35" s="6" t="s">
        <v>193</v>
      </c>
      <c r="Y35" s="2" t="n">
        <v>16.2</v>
      </c>
      <c r="Z35" s="4" t="n">
        <f aca="false">Y35/2</f>
        <v>8.1</v>
      </c>
      <c r="AA35" s="2" t="n">
        <v>200</v>
      </c>
      <c r="AB35" s="2" t="n">
        <v>0</v>
      </c>
      <c r="AC35" s="2" t="n">
        <v>0</v>
      </c>
      <c r="AD35" s="6" t="s">
        <v>86</v>
      </c>
    </row>
    <row r="36" customFormat="false" ht="35.05" hidden="false" customHeight="false" outlineLevel="0" collapsed="false">
      <c r="A36" s="2" t="n">
        <v>35</v>
      </c>
      <c r="B36" s="2" t="s">
        <v>194</v>
      </c>
      <c r="C36" s="2" t="s">
        <v>67</v>
      </c>
      <c r="D36" s="2" t="n">
        <v>4</v>
      </c>
      <c r="E36" s="2" t="n">
        <v>8</v>
      </c>
      <c r="F36" s="3" t="n">
        <v>0.12</v>
      </c>
      <c r="G36" s="3" t="n">
        <v>0.22</v>
      </c>
      <c r="H36" s="3" t="n">
        <f aca="false">AA36/(AA36+AB36+AC36)</f>
        <v>0.14</v>
      </c>
      <c r="I36" s="4" t="n">
        <f aca="false">IF(H36&gt;=1,1,INDEX(Summary!$B$48:$B$57,MATCH(H36,Summary!$A$48:$A$57,1))+(H36-INDEX(Summary!$A$48:$A$57,MATCH(H36,Summary!$A$48:$A$57,1)))*(INDEX(Summary!$B$48:$B$57,MATCH(H36,Summary!$A$48:$A$57,1)+1)-INDEX(Summary!$B$48:$B$57,MATCH(H36,Summary!$A$48:$A$57,1)))/(INDEX(Summary!$A$48:$A$57,MATCH(H36,Summary!$A$48:$A$57,1)+1)-INDEX(Summary!$A$48:$A$57,MATCH(H36,Summary!$A$48:$A$57,1))))</f>
        <v>8.54545454545455</v>
      </c>
      <c r="J36" s="5" t="b">
        <f aca="false">AND(H36&gt;=F36,H36&lt;=G36)</f>
        <v>1</v>
      </c>
      <c r="K36" s="6" t="s">
        <v>172</v>
      </c>
      <c r="L36" s="2" t="n">
        <v>4</v>
      </c>
      <c r="M36" s="2" t="n">
        <v>7</v>
      </c>
      <c r="N36" s="2" t="n">
        <v>96</v>
      </c>
      <c r="O36" s="6" t="s">
        <v>195</v>
      </c>
      <c r="P36" s="2" t="n">
        <v>9</v>
      </c>
      <c r="Q36" s="2" t="n">
        <v>2</v>
      </c>
      <c r="R36" s="2" t="n">
        <v>3</v>
      </c>
      <c r="S36" s="2" t="n">
        <v>2</v>
      </c>
      <c r="T36" s="2" t="n">
        <f aca="false">SUM(P36:S36)</f>
        <v>16</v>
      </c>
      <c r="U36" s="6" t="s">
        <v>196</v>
      </c>
      <c r="V36" s="2" t="s">
        <v>34</v>
      </c>
      <c r="W36" s="6" t="s">
        <v>96</v>
      </c>
      <c r="X36" s="6" t="s">
        <v>139</v>
      </c>
      <c r="Y36" s="2" t="n">
        <v>48.8</v>
      </c>
      <c r="Z36" s="4" t="n">
        <f aca="false">Y36/2</f>
        <v>24.4</v>
      </c>
      <c r="AA36" s="2" t="n">
        <v>28</v>
      </c>
      <c r="AB36" s="2" t="n">
        <v>172</v>
      </c>
      <c r="AC36" s="2" t="n">
        <v>0</v>
      </c>
      <c r="AD36" s="6" t="s">
        <v>197</v>
      </c>
    </row>
    <row r="37" customFormat="false" ht="23.85" hidden="false" customHeight="false" outlineLevel="0" collapsed="false">
      <c r="A37" s="2" t="n">
        <v>36</v>
      </c>
      <c r="B37" s="2" t="s">
        <v>198</v>
      </c>
      <c r="C37" s="2" t="s">
        <v>88</v>
      </c>
      <c r="D37" s="2" t="n">
        <v>3</v>
      </c>
      <c r="E37" s="2" t="n">
        <v>4</v>
      </c>
      <c r="F37" s="3" t="n">
        <v>0.45</v>
      </c>
      <c r="G37" s="3" t="n">
        <v>0.6</v>
      </c>
      <c r="H37" s="3" t="n">
        <f aca="false">AA37/(AA37+AB37+AC37)</f>
        <v>1</v>
      </c>
      <c r="I37" s="4" t="n">
        <f aca="false">IF(H37&gt;=1,1,INDEX(Summary!$B$48:$B$57,MATCH(H37,Summary!$A$48:$A$57,1))+(H37-INDEX(Summary!$A$48:$A$57,MATCH(H37,Summary!$A$48:$A$57,1)))*(INDEX(Summary!$B$48:$B$57,MATCH(H37,Summary!$A$48:$A$57,1)+1)-INDEX(Summary!$B$48:$B$57,MATCH(H37,Summary!$A$48:$A$57,1)))/(INDEX(Summary!$A$48:$A$57,MATCH(H37,Summary!$A$48:$A$57,1)+1)-INDEX(Summary!$A$48:$A$57,MATCH(H37,Summary!$A$48:$A$57,1))))</f>
        <v>1</v>
      </c>
      <c r="J37" s="5" t="b">
        <f aca="false">AND(H37&gt;=F37,H37&lt;=G37)</f>
        <v>0</v>
      </c>
      <c r="K37" s="6" t="s">
        <v>93</v>
      </c>
      <c r="L37" s="2" t="n">
        <v>4</v>
      </c>
      <c r="M37" s="2" t="n">
        <v>6</v>
      </c>
      <c r="N37" s="2" t="n">
        <v>72</v>
      </c>
      <c r="O37" s="6" t="s">
        <v>199</v>
      </c>
      <c r="P37" s="2" t="n">
        <v>0</v>
      </c>
      <c r="Q37" s="2" t="n">
        <v>6</v>
      </c>
      <c r="R37" s="2" t="n">
        <v>3</v>
      </c>
      <c r="S37" s="2" t="n">
        <v>1</v>
      </c>
      <c r="T37" s="2" t="n">
        <f aca="false">SUM(P37:S37)</f>
        <v>10</v>
      </c>
      <c r="U37" s="6" t="s">
        <v>200</v>
      </c>
      <c r="V37" s="2" t="s">
        <v>34</v>
      </c>
      <c r="W37" s="2" t="s">
        <v>56</v>
      </c>
      <c r="X37" s="6" t="s">
        <v>114</v>
      </c>
      <c r="Y37" s="2" t="n">
        <v>15.2</v>
      </c>
      <c r="Z37" s="4" t="n">
        <f aca="false">Y37/2</f>
        <v>7.6</v>
      </c>
      <c r="AA37" s="2" t="n">
        <v>200</v>
      </c>
      <c r="AB37" s="2" t="n">
        <v>0</v>
      </c>
      <c r="AC37" s="2" t="n">
        <v>0</v>
      </c>
      <c r="AD37" s="6" t="s">
        <v>140</v>
      </c>
    </row>
    <row r="38" customFormat="false" ht="35.05" hidden="false" customHeight="false" outlineLevel="0" collapsed="false">
      <c r="A38" s="2" t="n">
        <v>37</v>
      </c>
      <c r="B38" s="2" t="s">
        <v>201</v>
      </c>
      <c r="C38" s="2" t="s">
        <v>81</v>
      </c>
      <c r="D38" s="2" t="n">
        <v>3</v>
      </c>
      <c r="E38" s="2" t="n">
        <v>7</v>
      </c>
      <c r="F38" s="3" t="n">
        <v>0.18</v>
      </c>
      <c r="G38" s="3" t="n">
        <v>0.3</v>
      </c>
      <c r="H38" s="3" t="n">
        <f aca="false">AA38/(AA38+AB38+AC38)</f>
        <v>0.245</v>
      </c>
      <c r="I38" s="4" t="n">
        <f aca="false">IF(H38&gt;=1,1,INDEX(Summary!$B$48:$B$57,MATCH(H38,Summary!$A$48:$A$57,1))+(H38-INDEX(Summary!$A$48:$A$57,MATCH(H38,Summary!$A$48:$A$57,1)))*(INDEX(Summary!$B$48:$B$57,MATCH(H38,Summary!$A$48:$A$57,1)+1)-INDEX(Summary!$B$48:$B$57,MATCH(H38,Summary!$A$48:$A$57,1)))/(INDEX(Summary!$A$48:$A$57,MATCH(H38,Summary!$A$48:$A$57,1)+1)-INDEX(Summary!$A$48:$A$57,MATCH(H38,Summary!$A$48:$A$57,1))))</f>
        <v>6.94117647058824</v>
      </c>
      <c r="J38" s="5" t="b">
        <f aca="false">AND(H38&gt;=F38,H38&lt;=G38)</f>
        <v>1</v>
      </c>
      <c r="K38" s="6" t="s">
        <v>136</v>
      </c>
      <c r="L38" s="2" t="n">
        <v>4</v>
      </c>
      <c r="M38" s="2" t="n">
        <v>7</v>
      </c>
      <c r="N38" s="2" t="n">
        <v>96</v>
      </c>
      <c r="O38" s="6" t="s">
        <v>202</v>
      </c>
      <c r="P38" s="2" t="n">
        <v>5</v>
      </c>
      <c r="Q38" s="2" t="n">
        <v>6</v>
      </c>
      <c r="R38" s="2" t="n">
        <v>2</v>
      </c>
      <c r="S38" s="2" t="n">
        <v>2</v>
      </c>
      <c r="T38" s="2" t="n">
        <f aca="false">SUM(P38:S38)</f>
        <v>15</v>
      </c>
      <c r="U38" s="6" t="s">
        <v>203</v>
      </c>
      <c r="V38" s="2" t="s">
        <v>34</v>
      </c>
      <c r="W38" s="2" t="s">
        <v>70</v>
      </c>
      <c r="X38" s="6" t="s">
        <v>159</v>
      </c>
      <c r="Y38" s="2" t="n">
        <v>27.5</v>
      </c>
      <c r="Z38" s="4" t="n">
        <f aca="false">Y38/2</f>
        <v>13.75</v>
      </c>
      <c r="AA38" s="2" t="n">
        <v>49</v>
      </c>
      <c r="AB38" s="2" t="n">
        <v>151</v>
      </c>
      <c r="AC38" s="2" t="n">
        <v>0</v>
      </c>
      <c r="AD38" s="6" t="s">
        <v>72</v>
      </c>
    </row>
    <row r="39" customFormat="false" ht="23.85" hidden="false" customHeight="false" outlineLevel="0" collapsed="false">
      <c r="A39" s="2" t="n">
        <v>38</v>
      </c>
      <c r="B39" s="2" t="s">
        <v>204</v>
      </c>
      <c r="C39" s="2" t="s">
        <v>67</v>
      </c>
      <c r="D39" s="2" t="n">
        <v>5</v>
      </c>
      <c r="E39" s="2" t="n">
        <v>8</v>
      </c>
      <c r="F39" s="3" t="n">
        <v>0.12</v>
      </c>
      <c r="G39" s="3" t="n">
        <v>0.22</v>
      </c>
      <c r="H39" s="3" t="n">
        <f aca="false">AA39/(AA39+AB39+AC39)</f>
        <v>0.135</v>
      </c>
      <c r="I39" s="4" t="n">
        <f aca="false">IF(H39&gt;=1,1,INDEX(Summary!$B$48:$B$57,MATCH(H39,Summary!$A$48:$A$57,1))+(H39-INDEX(Summary!$A$48:$A$57,MATCH(H39,Summary!$A$48:$A$57,1)))*(INDEX(Summary!$B$48:$B$57,MATCH(H39,Summary!$A$48:$A$57,1)+1)-INDEX(Summary!$B$48:$B$57,MATCH(H39,Summary!$A$48:$A$57,1)))/(INDEX(Summary!$A$48:$A$57,MATCH(H39,Summary!$A$48:$A$57,1)+1)-INDEX(Summary!$A$48:$A$57,MATCH(H39,Summary!$A$48:$A$57,1))))</f>
        <v>8.63636363636364</v>
      </c>
      <c r="J39" s="5" t="b">
        <f aca="false">AND(H39&gt;=F39,H39&lt;=G39)</f>
        <v>1</v>
      </c>
      <c r="K39" s="6" t="s">
        <v>136</v>
      </c>
      <c r="L39" s="2" t="n">
        <v>4</v>
      </c>
      <c r="M39" s="2" t="n">
        <v>8</v>
      </c>
      <c r="N39" s="2" t="n">
        <v>96</v>
      </c>
      <c r="O39" s="6" t="s">
        <v>205</v>
      </c>
      <c r="P39" s="2" t="n">
        <v>7</v>
      </c>
      <c r="Q39" s="2" t="n">
        <v>8</v>
      </c>
      <c r="R39" s="2" t="n">
        <v>1</v>
      </c>
      <c r="S39" s="2" t="n">
        <v>1</v>
      </c>
      <c r="T39" s="2" t="n">
        <f aca="false">SUM(P39:S39)</f>
        <v>17</v>
      </c>
      <c r="U39" s="6" t="s">
        <v>206</v>
      </c>
      <c r="V39" s="2" t="s">
        <v>34</v>
      </c>
      <c r="W39" s="2" t="s">
        <v>49</v>
      </c>
      <c r="X39" s="6" t="s">
        <v>159</v>
      </c>
      <c r="Y39" s="2" t="n">
        <v>36.1</v>
      </c>
      <c r="Z39" s="4" t="n">
        <f aca="false">Y39/2</f>
        <v>18.05</v>
      </c>
      <c r="AA39" s="2" t="n">
        <v>27</v>
      </c>
      <c r="AB39" s="2" t="n">
        <v>173</v>
      </c>
      <c r="AC39" s="2" t="n">
        <v>0</v>
      </c>
      <c r="AD39" s="6" t="s">
        <v>160</v>
      </c>
    </row>
    <row r="40" customFormat="false" ht="23.85" hidden="false" customHeight="false" outlineLevel="0" collapsed="false">
      <c r="A40" s="2" t="n">
        <v>39</v>
      </c>
      <c r="B40" s="2" t="s">
        <v>207</v>
      </c>
      <c r="C40" s="2" t="s">
        <v>60</v>
      </c>
      <c r="D40" s="2" t="n">
        <v>3</v>
      </c>
      <c r="E40" s="2" t="n">
        <v>5</v>
      </c>
      <c r="F40" s="3" t="n">
        <v>0.35</v>
      </c>
      <c r="G40" s="3" t="n">
        <v>0.5</v>
      </c>
      <c r="H40" s="3" t="n">
        <f aca="false">AA40/(AA40+AB40+AC40)</f>
        <v>0.755</v>
      </c>
      <c r="I40" s="4" t="n">
        <f aca="false">IF(H40&gt;=1,1,INDEX(Summary!$B$48:$B$57,MATCH(H40,Summary!$A$48:$A$57,1))+(H40-INDEX(Summary!$A$48:$A$57,MATCH(H40,Summary!$A$48:$A$57,1)))*(INDEX(Summary!$B$48:$B$57,MATCH(H40,Summary!$A$48:$A$57,1)+1)-INDEX(Summary!$B$48:$B$57,MATCH(H40,Summary!$A$48:$A$57,1)))/(INDEX(Summary!$A$48:$A$57,MATCH(H40,Summary!$A$48:$A$57,1)+1)-INDEX(Summary!$A$48:$A$57,MATCH(H40,Summary!$A$48:$A$57,1))))</f>
        <v>2.475</v>
      </c>
      <c r="J40" s="5" t="b">
        <f aca="false">AND(H40&gt;=F40,H40&lt;=G40)</f>
        <v>0</v>
      </c>
      <c r="K40" s="6" t="s">
        <v>136</v>
      </c>
      <c r="L40" s="2" t="n">
        <v>4</v>
      </c>
      <c r="M40" s="2" t="n">
        <v>7</v>
      </c>
      <c r="N40" s="2" t="n">
        <v>96</v>
      </c>
      <c r="O40" s="6" t="s">
        <v>208</v>
      </c>
      <c r="P40" s="2" t="n">
        <v>0</v>
      </c>
      <c r="Q40" s="2" t="n">
        <v>0</v>
      </c>
      <c r="R40" s="2" t="n">
        <v>6</v>
      </c>
      <c r="S40" s="2" t="n">
        <v>4</v>
      </c>
      <c r="T40" s="2" t="n">
        <f aca="false">SUM(P40:S40)</f>
        <v>10</v>
      </c>
      <c r="U40" s="6" t="s">
        <v>209</v>
      </c>
      <c r="V40" s="2" t="s">
        <v>34</v>
      </c>
      <c r="W40" s="2" t="s">
        <v>100</v>
      </c>
      <c r="X40" s="6" t="s">
        <v>210</v>
      </c>
      <c r="Y40" s="2" t="n">
        <v>20.9</v>
      </c>
      <c r="Z40" s="4" t="n">
        <f aca="false">Y40/2</f>
        <v>10.45</v>
      </c>
      <c r="AA40" s="2" t="n">
        <v>151</v>
      </c>
      <c r="AB40" s="2" t="n">
        <v>49</v>
      </c>
      <c r="AC40" s="2" t="n">
        <v>0</v>
      </c>
      <c r="AD40" s="6" t="s">
        <v>106</v>
      </c>
    </row>
    <row r="41" customFormat="false" ht="46.25" hidden="false" customHeight="false" outlineLevel="0" collapsed="false">
      <c r="A41" s="2" t="n">
        <v>40</v>
      </c>
      <c r="B41" s="2" t="s">
        <v>211</v>
      </c>
      <c r="C41" s="2" t="s">
        <v>212</v>
      </c>
      <c r="D41" s="2" t="n">
        <v>5</v>
      </c>
      <c r="E41" s="2" t="n">
        <v>9</v>
      </c>
      <c r="F41" s="3" t="n">
        <v>0.08</v>
      </c>
      <c r="G41" s="3" t="n">
        <v>0.15</v>
      </c>
      <c r="H41" s="3" t="n">
        <f aca="false">AA41/(AA41+AB41+AC41)</f>
        <v>0.09</v>
      </c>
      <c r="I41" s="4" t="n">
        <f aca="false">IF(H41&gt;=1,1,INDEX(Summary!$B$48:$B$57,MATCH(H41,Summary!$A$48:$A$57,1))+(H41-INDEX(Summary!$A$48:$A$57,MATCH(H41,Summary!$A$48:$A$57,1)))*(INDEX(Summary!$B$48:$B$57,MATCH(H41,Summary!$A$48:$A$57,1)+1)-INDEX(Summary!$B$48:$B$57,MATCH(H41,Summary!$A$48:$A$57,1)))/(INDEX(Summary!$A$48:$A$57,MATCH(H41,Summary!$A$48:$A$57,1)+1)-INDEX(Summary!$A$48:$A$57,MATCH(H41,Summary!$A$48:$A$57,1))))</f>
        <v>9.21739130434783</v>
      </c>
      <c r="J41" s="5" t="b">
        <f aca="false">AND(H41&gt;=F41,H41&lt;=G41)</f>
        <v>1</v>
      </c>
      <c r="K41" s="6" t="s">
        <v>136</v>
      </c>
      <c r="L41" s="2" t="n">
        <v>4</v>
      </c>
      <c r="M41" s="2" t="n">
        <v>8</v>
      </c>
      <c r="N41" s="2" t="n">
        <v>96</v>
      </c>
      <c r="O41" s="6" t="s">
        <v>213</v>
      </c>
      <c r="P41" s="2" t="n">
        <v>10</v>
      </c>
      <c r="Q41" s="2" t="n">
        <v>6</v>
      </c>
      <c r="R41" s="2" t="n">
        <v>1</v>
      </c>
      <c r="S41" s="2" t="n">
        <v>1</v>
      </c>
      <c r="T41" s="2" t="n">
        <f aca="false">SUM(P41:S41)</f>
        <v>18</v>
      </c>
      <c r="U41" s="6" t="s">
        <v>214</v>
      </c>
      <c r="V41" s="2" t="s">
        <v>34</v>
      </c>
      <c r="W41" s="6" t="s">
        <v>42</v>
      </c>
      <c r="X41" s="6" t="s">
        <v>215</v>
      </c>
      <c r="Y41" s="2" t="n">
        <v>25.3</v>
      </c>
      <c r="Z41" s="4" t="n">
        <f aca="false">Y41/2</f>
        <v>12.65</v>
      </c>
      <c r="AA41" s="2" t="n">
        <v>18</v>
      </c>
      <c r="AB41" s="2" t="n">
        <v>182</v>
      </c>
      <c r="AC41" s="2" t="n">
        <v>0</v>
      </c>
      <c r="AD41" s="6" t="s">
        <v>140</v>
      </c>
    </row>
    <row r="42" customFormat="false" ht="15" hidden="false" customHeight="false" outlineLevel="0" collapsed="false">
      <c r="A42" s="7" t="s">
        <v>216</v>
      </c>
      <c r="J42" s="7" t="str">
        <f aca="false">COUNTIF(J2:J41,TRUE())&amp;" / 40"</f>
        <v>22 / 40</v>
      </c>
      <c r="N42" s="8" t="n">
        <f aca="false">SUM(N2:N41)</f>
        <v>2868</v>
      </c>
      <c r="T42" s="8" t="n">
        <f aca="false">SUM(T2:T41)</f>
        <v>423</v>
      </c>
      <c r="Y42" s="9" t="n">
        <f aca="false">SUM(Y2:Y41)</f>
        <v>868.9</v>
      </c>
      <c r="Z42" s="9" t="n">
        <f aca="false">SUM(Z2:Z41)</f>
        <v>434.45</v>
      </c>
      <c r="AA42" s="8" t="n">
        <f aca="false">SUM(AA2:AA41)</f>
        <v>5196</v>
      </c>
      <c r="AB42" s="8" t="n">
        <f aca="false">SUM(AB2:AB41)</f>
        <v>2804</v>
      </c>
      <c r="AC42" s="8" t="n">
        <f aca="false">SUM(AC2:AC41)</f>
        <v>0</v>
      </c>
    </row>
    <row r="44" customFormat="false" ht="15" hidden="false" customHeight="false" outlineLevel="0" collapsed="false">
      <c r="A44" s="10" t="s">
        <v>217</v>
      </c>
    </row>
    <row r="45" customFormat="false" ht="15" hidden="false" customHeight="false" outlineLevel="0" collapsed="false">
      <c r="A45" s="10" t="s">
        <v>218</v>
      </c>
    </row>
    <row r="46" customFormat="false" ht="15" hidden="false" customHeight="false" outlineLevel="0" collapsed="false">
      <c r="A46" s="10" t="s">
        <v>219</v>
      </c>
    </row>
    <row r="47" customFormat="false" ht="15" hidden="false" customHeight="false" outlineLevel="0" collapsed="false">
      <c r="A47" s="10" t="s">
        <v>220</v>
      </c>
    </row>
    <row r="48" customFormat="false" ht="15" hidden="false" customHeight="false" outlineLevel="0" collapsed="false">
      <c r="A48" s="10" t="s">
        <v>221</v>
      </c>
    </row>
    <row r="49" customFormat="false" ht="15" hidden="false" customHeight="false" outlineLevel="0" collapsed="false">
      <c r="A49" s="10" t="s">
        <v>222</v>
      </c>
    </row>
    <row r="50" customFormat="false" ht="15" hidden="false" customHeight="false" outlineLevel="0" collapsed="false">
      <c r="A50" s="10" t="s">
        <v>223</v>
      </c>
    </row>
    <row r="51" customFormat="false" ht="15" hidden="false" customHeight="false" outlineLevel="0" collapsed="false">
      <c r="A51" s="10" t="s">
        <v>224</v>
      </c>
    </row>
  </sheetData>
  <conditionalFormatting sqref="J2:J41">
    <cfRule type="cellIs" priority="2" operator="equal" aboveAverage="0" equalAverage="0" bottom="0" percent="0" rank="0" text="" dxfId="0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11" t="s">
        <v>0</v>
      </c>
      <c r="B1" s="11" t="s">
        <v>4</v>
      </c>
      <c r="C1" s="11" t="s">
        <v>8</v>
      </c>
      <c r="D1" s="11" t="s">
        <v>13</v>
      </c>
    </row>
    <row r="2" customFormat="false" ht="15" hidden="false" customHeight="false" outlineLevel="0" collapsed="false">
      <c r="A2" s="12" t="n">
        <f aca="false">Funnel!A2</f>
        <v>1</v>
      </c>
      <c r="B2" s="12" t="n">
        <f aca="false">Funnel!E2</f>
        <v>1</v>
      </c>
      <c r="C2" s="13" t="n">
        <f aca="false">Funnel!I2</f>
        <v>1</v>
      </c>
      <c r="D2" s="12" t="n">
        <f aca="false">Funnel!N2</f>
        <v>16</v>
      </c>
    </row>
    <row r="3" customFormat="false" ht="15" hidden="false" customHeight="false" outlineLevel="0" collapsed="false">
      <c r="A3" s="12" t="n">
        <f aca="false">Funnel!A3</f>
        <v>2</v>
      </c>
      <c r="B3" s="12" t="n">
        <f aca="false">Funnel!E3</f>
        <v>2</v>
      </c>
      <c r="C3" s="13" t="n">
        <f aca="false">Funnel!I3</f>
        <v>1</v>
      </c>
      <c r="D3" s="12" t="n">
        <f aca="false">Funnel!N3</f>
        <v>24</v>
      </c>
    </row>
    <row r="4" customFormat="false" ht="15" hidden="false" customHeight="false" outlineLevel="0" collapsed="false">
      <c r="A4" s="12" t="n">
        <f aca="false">Funnel!A4</f>
        <v>3</v>
      </c>
      <c r="B4" s="12" t="n">
        <f aca="false">Funnel!E4</f>
        <v>2</v>
      </c>
      <c r="C4" s="13" t="n">
        <f aca="false">Funnel!I4</f>
        <v>1</v>
      </c>
      <c r="D4" s="12" t="n">
        <f aca="false">Funnel!N4</f>
        <v>32</v>
      </c>
    </row>
    <row r="5" customFormat="false" ht="15" hidden="false" customHeight="false" outlineLevel="0" collapsed="false">
      <c r="A5" s="12" t="n">
        <f aca="false">Funnel!A5</f>
        <v>4</v>
      </c>
      <c r="B5" s="12" t="n">
        <f aca="false">Funnel!E5</f>
        <v>3</v>
      </c>
      <c r="C5" s="13" t="n">
        <f aca="false">Funnel!I5</f>
        <v>1</v>
      </c>
      <c r="D5" s="12" t="n">
        <f aca="false">Funnel!N5</f>
        <v>36</v>
      </c>
    </row>
    <row r="6" customFormat="false" ht="15" hidden="false" customHeight="false" outlineLevel="0" collapsed="false">
      <c r="A6" s="12" t="n">
        <f aca="false">Funnel!A6</f>
        <v>5</v>
      </c>
      <c r="B6" s="12" t="n">
        <f aca="false">Funnel!E6</f>
        <v>2</v>
      </c>
      <c r="C6" s="13" t="n">
        <f aca="false">Funnel!I6</f>
        <v>1</v>
      </c>
      <c r="D6" s="12" t="n">
        <f aca="false">Funnel!N6</f>
        <v>52</v>
      </c>
    </row>
    <row r="7" customFormat="false" ht="15" hidden="false" customHeight="false" outlineLevel="0" collapsed="false">
      <c r="A7" s="12" t="n">
        <f aca="false">Funnel!A7</f>
        <v>6</v>
      </c>
      <c r="B7" s="12" t="n">
        <f aca="false">Funnel!E7</f>
        <v>5</v>
      </c>
      <c r="C7" s="13" t="n">
        <f aca="false">Funnel!I7</f>
        <v>5.65</v>
      </c>
      <c r="D7" s="12" t="n">
        <f aca="false">Funnel!N7</f>
        <v>60</v>
      </c>
    </row>
    <row r="8" customFormat="false" ht="15" hidden="false" customHeight="false" outlineLevel="0" collapsed="false">
      <c r="A8" s="12" t="n">
        <f aca="false">Funnel!A8</f>
        <v>7</v>
      </c>
      <c r="B8" s="12" t="n">
        <f aca="false">Funnel!E8</f>
        <v>3</v>
      </c>
      <c r="C8" s="13" t="n">
        <f aca="false">Funnel!I8</f>
        <v>1</v>
      </c>
      <c r="D8" s="12" t="n">
        <f aca="false">Funnel!N8</f>
        <v>52</v>
      </c>
    </row>
    <row r="9" customFormat="false" ht="15" hidden="false" customHeight="false" outlineLevel="0" collapsed="false">
      <c r="A9" s="12" t="n">
        <f aca="false">Funnel!A9</f>
        <v>8</v>
      </c>
      <c r="B9" s="12" t="n">
        <f aca="false">Funnel!E9</f>
        <v>5</v>
      </c>
      <c r="C9" s="13" t="n">
        <f aca="false">Funnel!I9</f>
        <v>4.35</v>
      </c>
      <c r="D9" s="12" t="n">
        <f aca="false">Funnel!N9</f>
        <v>60</v>
      </c>
    </row>
    <row r="10" customFormat="false" ht="15" hidden="false" customHeight="false" outlineLevel="0" collapsed="false">
      <c r="A10" s="12" t="n">
        <f aca="false">Funnel!A10</f>
        <v>9</v>
      </c>
      <c r="B10" s="12" t="n">
        <f aca="false">Funnel!E10</f>
        <v>3</v>
      </c>
      <c r="C10" s="13" t="n">
        <f aca="false">Funnel!I10</f>
        <v>1</v>
      </c>
      <c r="D10" s="12" t="n">
        <f aca="false">Funnel!N10</f>
        <v>54</v>
      </c>
    </row>
    <row r="11" customFormat="false" ht="15" hidden="false" customHeight="false" outlineLevel="0" collapsed="false">
      <c r="A11" s="12" t="n">
        <f aca="false">Funnel!A11</f>
        <v>10</v>
      </c>
      <c r="B11" s="12" t="n">
        <f aca="false">Funnel!E11</f>
        <v>6</v>
      </c>
      <c r="C11" s="13" t="n">
        <f aca="false">Funnel!I11</f>
        <v>5.45</v>
      </c>
      <c r="D11" s="12" t="n">
        <f aca="false">Funnel!N11</f>
        <v>72</v>
      </c>
    </row>
    <row r="12" customFormat="false" ht="15" hidden="false" customHeight="false" outlineLevel="0" collapsed="false">
      <c r="A12" s="12" t="n">
        <f aca="false">Funnel!A12</f>
        <v>11</v>
      </c>
      <c r="B12" s="12" t="n">
        <f aca="false">Funnel!E12</f>
        <v>3</v>
      </c>
      <c r="C12" s="13" t="n">
        <f aca="false">Funnel!I12</f>
        <v>1</v>
      </c>
      <c r="D12" s="12" t="n">
        <f aca="false">Funnel!N12</f>
        <v>54</v>
      </c>
    </row>
    <row r="13" customFormat="false" ht="15" hidden="false" customHeight="false" outlineLevel="0" collapsed="false">
      <c r="A13" s="12" t="n">
        <f aca="false">Funnel!A13</f>
        <v>12</v>
      </c>
      <c r="B13" s="12" t="n">
        <f aca="false">Funnel!E13</f>
        <v>6</v>
      </c>
      <c r="C13" s="13" t="n">
        <f aca="false">Funnel!I13</f>
        <v>5.9</v>
      </c>
      <c r="D13" s="12" t="n">
        <f aca="false">Funnel!N13</f>
        <v>84</v>
      </c>
    </row>
    <row r="14" customFormat="false" ht="15" hidden="false" customHeight="false" outlineLevel="0" collapsed="false">
      <c r="A14" s="12" t="n">
        <f aca="false">Funnel!A14</f>
        <v>13</v>
      </c>
      <c r="B14" s="12" t="n">
        <f aca="false">Funnel!E14</f>
        <v>3</v>
      </c>
      <c r="C14" s="13" t="n">
        <f aca="false">Funnel!I14</f>
        <v>1</v>
      </c>
      <c r="D14" s="12" t="n">
        <f aca="false">Funnel!N14</f>
        <v>60</v>
      </c>
    </row>
    <row r="15" customFormat="false" ht="15" hidden="false" customHeight="false" outlineLevel="0" collapsed="false">
      <c r="A15" s="12" t="n">
        <f aca="false">Funnel!A15</f>
        <v>14</v>
      </c>
      <c r="B15" s="12" t="n">
        <f aca="false">Funnel!E15</f>
        <v>6</v>
      </c>
      <c r="C15" s="13" t="n">
        <f aca="false">Funnel!I15</f>
        <v>5.25</v>
      </c>
      <c r="D15" s="12" t="n">
        <f aca="false">Funnel!N15</f>
        <v>72</v>
      </c>
    </row>
    <row r="16" customFormat="false" ht="15" hidden="false" customHeight="false" outlineLevel="0" collapsed="false">
      <c r="A16" s="12" t="n">
        <f aca="false">Funnel!A16</f>
        <v>15</v>
      </c>
      <c r="B16" s="12" t="n">
        <f aca="false">Funnel!E16</f>
        <v>3</v>
      </c>
      <c r="C16" s="13" t="n">
        <f aca="false">Funnel!I16</f>
        <v>1</v>
      </c>
      <c r="D16" s="12" t="n">
        <f aca="false">Funnel!N16</f>
        <v>72</v>
      </c>
    </row>
    <row r="17" customFormat="false" ht="15" hidden="false" customHeight="false" outlineLevel="0" collapsed="false">
      <c r="A17" s="12" t="n">
        <f aca="false">Funnel!A17</f>
        <v>16</v>
      </c>
      <c r="B17" s="12" t="n">
        <f aca="false">Funnel!E17</f>
        <v>7</v>
      </c>
      <c r="C17" s="13" t="n">
        <f aca="false">Funnel!I17</f>
        <v>7.14285714285714</v>
      </c>
      <c r="D17" s="12" t="n">
        <f aca="false">Funnel!N17</f>
        <v>84</v>
      </c>
    </row>
    <row r="18" customFormat="false" ht="15" hidden="false" customHeight="false" outlineLevel="0" collapsed="false">
      <c r="A18" s="12" t="n">
        <f aca="false">Funnel!A18</f>
        <v>17</v>
      </c>
      <c r="B18" s="12" t="n">
        <f aca="false">Funnel!E18</f>
        <v>4</v>
      </c>
      <c r="C18" s="13" t="n">
        <f aca="false">Funnel!I18</f>
        <v>1</v>
      </c>
      <c r="D18" s="12" t="n">
        <f aca="false">Funnel!N18</f>
        <v>72</v>
      </c>
    </row>
    <row r="19" customFormat="false" ht="15" hidden="false" customHeight="false" outlineLevel="0" collapsed="false">
      <c r="A19" s="12" t="n">
        <f aca="false">Funnel!A19</f>
        <v>18</v>
      </c>
      <c r="B19" s="12" t="n">
        <f aca="false">Funnel!E19</f>
        <v>3</v>
      </c>
      <c r="C19" s="13" t="n">
        <f aca="false">Funnel!I19</f>
        <v>1</v>
      </c>
      <c r="D19" s="12" t="n">
        <f aca="false">Funnel!N19</f>
        <v>60</v>
      </c>
    </row>
    <row r="20" customFormat="false" ht="15" hidden="false" customHeight="false" outlineLevel="0" collapsed="false">
      <c r="A20" s="12" t="n">
        <f aca="false">Funnel!A20</f>
        <v>19</v>
      </c>
      <c r="B20" s="12" t="n">
        <f aca="false">Funnel!E20</f>
        <v>6</v>
      </c>
      <c r="C20" s="13" t="n">
        <f aca="false">Funnel!I20</f>
        <v>5.25</v>
      </c>
      <c r="D20" s="12" t="n">
        <f aca="false">Funnel!N20</f>
        <v>84</v>
      </c>
    </row>
    <row r="21" customFormat="false" ht="15" hidden="false" customHeight="false" outlineLevel="0" collapsed="false">
      <c r="A21" s="12" t="n">
        <f aca="false">Funnel!A21</f>
        <v>20</v>
      </c>
      <c r="B21" s="12" t="n">
        <f aca="false">Funnel!E21</f>
        <v>8</v>
      </c>
      <c r="C21" s="13" t="n">
        <f aca="false">Funnel!I21</f>
        <v>8.54545454545455</v>
      </c>
      <c r="D21" s="12" t="n">
        <f aca="false">Funnel!N21</f>
        <v>96</v>
      </c>
    </row>
    <row r="22" customFormat="false" ht="15" hidden="false" customHeight="false" outlineLevel="0" collapsed="false">
      <c r="A22" s="12" t="n">
        <f aca="false">Funnel!A22</f>
        <v>21</v>
      </c>
      <c r="B22" s="12" t="n">
        <f aca="false">Funnel!E22</f>
        <v>5</v>
      </c>
      <c r="C22" s="13" t="n">
        <f aca="false">Funnel!I22</f>
        <v>2.925</v>
      </c>
      <c r="D22" s="12" t="n">
        <f aca="false">Funnel!N22</f>
        <v>72</v>
      </c>
    </row>
    <row r="23" customFormat="false" ht="15" hidden="false" customHeight="false" outlineLevel="0" collapsed="false">
      <c r="A23" s="12" t="n">
        <f aca="false">Funnel!A23</f>
        <v>22</v>
      </c>
      <c r="B23" s="12" t="n">
        <f aca="false">Funnel!E23</f>
        <v>3</v>
      </c>
      <c r="C23" s="13" t="n">
        <f aca="false">Funnel!I23</f>
        <v>1</v>
      </c>
      <c r="D23" s="12" t="n">
        <f aca="false">Funnel!N23</f>
        <v>52</v>
      </c>
    </row>
    <row r="24" customFormat="false" ht="15" hidden="false" customHeight="false" outlineLevel="0" collapsed="false">
      <c r="A24" s="12" t="n">
        <f aca="false">Funnel!A24</f>
        <v>23</v>
      </c>
      <c r="B24" s="12" t="n">
        <f aca="false">Funnel!E24</f>
        <v>7</v>
      </c>
      <c r="C24" s="13" t="n">
        <f aca="false">Funnel!I24</f>
        <v>7.28571428571429</v>
      </c>
      <c r="D24" s="12" t="n">
        <f aca="false">Funnel!N24</f>
        <v>84</v>
      </c>
    </row>
    <row r="25" customFormat="false" ht="15" hidden="false" customHeight="false" outlineLevel="0" collapsed="false">
      <c r="A25" s="12" t="n">
        <f aca="false">Funnel!A25</f>
        <v>24</v>
      </c>
      <c r="B25" s="12" t="n">
        <f aca="false">Funnel!E25</f>
        <v>4</v>
      </c>
      <c r="C25" s="13" t="n">
        <f aca="false">Funnel!I25</f>
        <v>1</v>
      </c>
      <c r="D25" s="12" t="n">
        <f aca="false">Funnel!N25</f>
        <v>84</v>
      </c>
    </row>
    <row r="26" customFormat="false" ht="15" hidden="false" customHeight="false" outlineLevel="0" collapsed="false">
      <c r="A26" s="12" t="n">
        <f aca="false">Funnel!A26</f>
        <v>25</v>
      </c>
      <c r="B26" s="12" t="n">
        <f aca="false">Funnel!E26</f>
        <v>8</v>
      </c>
      <c r="C26" s="13" t="n">
        <f aca="false">Funnel!I26</f>
        <v>8.63636363636364</v>
      </c>
      <c r="D26" s="12" t="n">
        <f aca="false">Funnel!N26</f>
        <v>96</v>
      </c>
    </row>
    <row r="27" customFormat="false" ht="15" hidden="false" customHeight="false" outlineLevel="0" collapsed="false">
      <c r="A27" s="12" t="n">
        <f aca="false">Funnel!A27</f>
        <v>26</v>
      </c>
      <c r="B27" s="12" t="n">
        <f aca="false">Funnel!E27</f>
        <v>3</v>
      </c>
      <c r="C27" s="13" t="n">
        <f aca="false">Funnel!I27</f>
        <v>1.23333333333333</v>
      </c>
      <c r="D27" s="12" t="n">
        <f aca="false">Funnel!N27</f>
        <v>72</v>
      </c>
    </row>
    <row r="28" customFormat="false" ht="15" hidden="false" customHeight="false" outlineLevel="0" collapsed="false">
      <c r="A28" s="12" t="n">
        <f aca="false">Funnel!A28</f>
        <v>27</v>
      </c>
      <c r="B28" s="12" t="n">
        <f aca="false">Funnel!E28</f>
        <v>6</v>
      </c>
      <c r="C28" s="13" t="n">
        <f aca="false">Funnel!I28</f>
        <v>6.17647058823529</v>
      </c>
      <c r="D28" s="12" t="n">
        <f aca="false">Funnel!N28</f>
        <v>84</v>
      </c>
    </row>
    <row r="29" customFormat="false" ht="15" hidden="false" customHeight="false" outlineLevel="0" collapsed="false">
      <c r="A29" s="12" t="n">
        <f aca="false">Funnel!A29</f>
        <v>28</v>
      </c>
      <c r="B29" s="12" t="n">
        <f aca="false">Funnel!E29</f>
        <v>3</v>
      </c>
      <c r="C29" s="13" t="n">
        <f aca="false">Funnel!I29</f>
        <v>1</v>
      </c>
      <c r="D29" s="12" t="n">
        <f aca="false">Funnel!N29</f>
        <v>72</v>
      </c>
    </row>
    <row r="30" customFormat="false" ht="15" hidden="false" customHeight="false" outlineLevel="0" collapsed="false">
      <c r="A30" s="12" t="n">
        <f aca="false">Funnel!A30</f>
        <v>29</v>
      </c>
      <c r="B30" s="12" t="n">
        <f aca="false">Funnel!E30</f>
        <v>7</v>
      </c>
      <c r="C30" s="13" t="n">
        <f aca="false">Funnel!I30</f>
        <v>7.5</v>
      </c>
      <c r="D30" s="12" t="n">
        <f aca="false">Funnel!N30</f>
        <v>96</v>
      </c>
    </row>
    <row r="31" customFormat="false" ht="15" hidden="false" customHeight="false" outlineLevel="0" collapsed="false">
      <c r="A31" s="12" t="n">
        <f aca="false">Funnel!A31</f>
        <v>30</v>
      </c>
      <c r="B31" s="12" t="n">
        <f aca="false">Funnel!E31</f>
        <v>9</v>
      </c>
      <c r="C31" s="13" t="n">
        <f aca="false">Funnel!I31</f>
        <v>9.17391304347826</v>
      </c>
      <c r="D31" s="12" t="n">
        <f aca="false">Funnel!N31</f>
        <v>96</v>
      </c>
    </row>
    <row r="32" customFormat="false" ht="15" hidden="false" customHeight="false" outlineLevel="0" collapsed="false">
      <c r="A32" s="12" t="n">
        <f aca="false">Funnel!A32</f>
        <v>31</v>
      </c>
      <c r="B32" s="12" t="n">
        <f aca="false">Funnel!E32</f>
        <v>3</v>
      </c>
      <c r="C32" s="13" t="n">
        <f aca="false">Funnel!I32</f>
        <v>1</v>
      </c>
      <c r="D32" s="12" t="n">
        <f aca="false">Funnel!N32</f>
        <v>72</v>
      </c>
    </row>
    <row r="33" customFormat="false" ht="15" hidden="false" customHeight="false" outlineLevel="0" collapsed="false">
      <c r="A33" s="12" t="n">
        <f aca="false">Funnel!A33</f>
        <v>32</v>
      </c>
      <c r="B33" s="12" t="n">
        <f aca="false">Funnel!E33</f>
        <v>4</v>
      </c>
      <c r="C33" s="13" t="n">
        <f aca="false">Funnel!I33</f>
        <v>1</v>
      </c>
      <c r="D33" s="12" t="n">
        <f aca="false">Funnel!N33</f>
        <v>72</v>
      </c>
    </row>
    <row r="34" customFormat="false" ht="15" hidden="false" customHeight="false" outlineLevel="0" collapsed="false">
      <c r="A34" s="12" t="n">
        <f aca="false">Funnel!A34</f>
        <v>33</v>
      </c>
      <c r="B34" s="12" t="n">
        <f aca="false">Funnel!E34</f>
        <v>6</v>
      </c>
      <c r="C34" s="13" t="n">
        <f aca="false">Funnel!I34</f>
        <v>6.47058823529412</v>
      </c>
      <c r="D34" s="12" t="n">
        <f aca="false">Funnel!N34</f>
        <v>84</v>
      </c>
    </row>
    <row r="35" customFormat="false" ht="15" hidden="false" customHeight="false" outlineLevel="0" collapsed="false">
      <c r="A35" s="12" t="n">
        <f aca="false">Funnel!A35</f>
        <v>34</v>
      </c>
      <c r="B35" s="12" t="n">
        <f aca="false">Funnel!E35</f>
        <v>4</v>
      </c>
      <c r="C35" s="13" t="n">
        <f aca="false">Funnel!I35</f>
        <v>1</v>
      </c>
      <c r="D35" s="12" t="n">
        <f aca="false">Funnel!N35</f>
        <v>84</v>
      </c>
    </row>
    <row r="36" customFormat="false" ht="15" hidden="false" customHeight="false" outlineLevel="0" collapsed="false">
      <c r="A36" s="12" t="n">
        <f aca="false">Funnel!A36</f>
        <v>35</v>
      </c>
      <c r="B36" s="12" t="n">
        <f aca="false">Funnel!E36</f>
        <v>8</v>
      </c>
      <c r="C36" s="13" t="n">
        <f aca="false">Funnel!I36</f>
        <v>8.54545454545455</v>
      </c>
      <c r="D36" s="12" t="n">
        <f aca="false">Funnel!N36</f>
        <v>96</v>
      </c>
    </row>
    <row r="37" customFormat="false" ht="15" hidden="false" customHeight="false" outlineLevel="0" collapsed="false">
      <c r="A37" s="12" t="n">
        <f aca="false">Funnel!A37</f>
        <v>36</v>
      </c>
      <c r="B37" s="12" t="n">
        <f aca="false">Funnel!E37</f>
        <v>4</v>
      </c>
      <c r="C37" s="13" t="n">
        <f aca="false">Funnel!I37</f>
        <v>1</v>
      </c>
      <c r="D37" s="12" t="n">
        <f aca="false">Funnel!N37</f>
        <v>72</v>
      </c>
    </row>
    <row r="38" customFormat="false" ht="15" hidden="false" customHeight="false" outlineLevel="0" collapsed="false">
      <c r="A38" s="12" t="n">
        <f aca="false">Funnel!A38</f>
        <v>37</v>
      </c>
      <c r="B38" s="12" t="n">
        <f aca="false">Funnel!E38</f>
        <v>7</v>
      </c>
      <c r="C38" s="13" t="n">
        <f aca="false">Funnel!I38</f>
        <v>6.94117647058824</v>
      </c>
      <c r="D38" s="12" t="n">
        <f aca="false">Funnel!N38</f>
        <v>96</v>
      </c>
    </row>
    <row r="39" customFormat="false" ht="15" hidden="false" customHeight="false" outlineLevel="0" collapsed="false">
      <c r="A39" s="12" t="n">
        <f aca="false">Funnel!A39</f>
        <v>38</v>
      </c>
      <c r="B39" s="12" t="n">
        <f aca="false">Funnel!E39</f>
        <v>8</v>
      </c>
      <c r="C39" s="13" t="n">
        <f aca="false">Funnel!I39</f>
        <v>8.63636363636364</v>
      </c>
      <c r="D39" s="12" t="n">
        <f aca="false">Funnel!N39</f>
        <v>96</v>
      </c>
    </row>
    <row r="40" customFormat="false" ht="15" hidden="false" customHeight="false" outlineLevel="0" collapsed="false">
      <c r="A40" s="12" t="n">
        <f aca="false">Funnel!A40</f>
        <v>39</v>
      </c>
      <c r="B40" s="12" t="n">
        <f aca="false">Funnel!E40</f>
        <v>5</v>
      </c>
      <c r="C40" s="13" t="n">
        <f aca="false">Funnel!I40</f>
        <v>2.475</v>
      </c>
      <c r="D40" s="12" t="n">
        <f aca="false">Funnel!N40</f>
        <v>96</v>
      </c>
    </row>
    <row r="41" customFormat="false" ht="15" hidden="false" customHeight="false" outlineLevel="0" collapsed="false">
      <c r="A41" s="12" t="n">
        <f aca="false">Funnel!A41</f>
        <v>40</v>
      </c>
      <c r="B41" s="12" t="n">
        <f aca="false">Funnel!E41</f>
        <v>9</v>
      </c>
      <c r="C41" s="13" t="n">
        <f aca="false">Funnel!I41</f>
        <v>9.21739130434783</v>
      </c>
      <c r="D41" s="12" t="n">
        <f aca="false">Funnel!N41</f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6"/>
    <col collapsed="false" customWidth="true" hidden="false" outlineLevel="0" max="4" min="4" style="0" width="46"/>
  </cols>
  <sheetData>
    <row r="1" customFormat="false" ht="17.35" hidden="false" customHeight="false" outlineLevel="0" collapsed="false">
      <c r="A1" s="14" t="s">
        <v>225</v>
      </c>
    </row>
    <row r="3" customFormat="false" ht="15" hidden="false" customHeight="false" outlineLevel="0" collapsed="false">
      <c r="A3" s="11" t="s">
        <v>226</v>
      </c>
      <c r="B3" s="11" t="s">
        <v>227</v>
      </c>
      <c r="C3" s="11" t="s">
        <v>228</v>
      </c>
      <c r="D3" s="11" t="s">
        <v>229</v>
      </c>
    </row>
    <row r="4" customFormat="false" ht="15" hidden="false" customHeight="false" outlineLevel="0" collapsed="false">
      <c r="A4" s="12" t="s">
        <v>230</v>
      </c>
      <c r="B4" s="15" t="n">
        <f aca="false">SUM(Funnel!Y2:Y41)</f>
        <v>868.9</v>
      </c>
      <c r="C4" s="13" t="n">
        <f aca="false">B4/60</f>
        <v>14.4816666666667</v>
      </c>
      <c r="D4" s="12" t="s">
        <v>231</v>
      </c>
    </row>
    <row r="5" customFormat="false" ht="15" hidden="false" customHeight="false" outlineLevel="0" collapsed="false">
      <c r="A5" s="12" t="s">
        <v>232</v>
      </c>
      <c r="B5" s="15" t="n">
        <f aca="false">SUM(Funnel!Z2:Z41)</f>
        <v>434.45</v>
      </c>
      <c r="C5" s="13" t="n">
        <f aca="false">B5/60</f>
        <v>7.24083333333333</v>
      </c>
      <c r="D5" s="12" t="s">
        <v>233</v>
      </c>
    </row>
    <row r="6" customFormat="false" ht="15" hidden="false" customHeight="false" outlineLevel="0" collapsed="false">
      <c r="A6" s="12" t="s">
        <v>234</v>
      </c>
      <c r="B6" s="16" t="b">
        <f aca="false">C5&gt;=35</f>
        <v>0</v>
      </c>
      <c r="C6" s="12"/>
      <c r="D6" s="12"/>
    </row>
    <row r="8" customFormat="false" ht="15" hidden="false" customHeight="false" outlineLevel="0" collapsed="false">
      <c r="A8" s="11" t="s">
        <v>235</v>
      </c>
      <c r="B8" s="11" t="s">
        <v>227</v>
      </c>
      <c r="C8" s="11" t="s">
        <v>228</v>
      </c>
      <c r="D8" s="11" t="s">
        <v>229</v>
      </c>
    </row>
    <row r="9" customFormat="false" ht="15" hidden="false" customHeight="false" outlineLevel="0" collapsed="false">
      <c r="A9" s="12" t="s">
        <v>236</v>
      </c>
      <c r="B9" s="15" t="n">
        <f aca="false">SUM(Funnel!Y2:Y13)</f>
        <v>191.5</v>
      </c>
      <c r="C9" s="13" t="n">
        <f aca="false">B9/60</f>
        <v>3.19166666666667</v>
      </c>
      <c r="D9" s="12" t="s">
        <v>237</v>
      </c>
    </row>
    <row r="10" customFormat="false" ht="15" hidden="false" customHeight="false" outlineLevel="0" collapsed="false">
      <c r="A10" s="12" t="s">
        <v>238</v>
      </c>
      <c r="B10" s="15" t="n">
        <f aca="false">SUM(Funnel!Z2:Z13)</f>
        <v>95.75</v>
      </c>
      <c r="C10" s="13" t="n">
        <f aca="false">B10/60</f>
        <v>1.59583333333333</v>
      </c>
      <c r="D10" s="12"/>
    </row>
    <row r="11" customFormat="false" ht="15" hidden="false" customHeight="false" outlineLevel="0" collapsed="false">
      <c r="A11" s="12" t="s">
        <v>239</v>
      </c>
      <c r="B11" s="15" t="n">
        <f aca="false">B9*B12</f>
        <v>287.25</v>
      </c>
      <c r="C11" s="13" t="n">
        <f aca="false">B11/60</f>
        <v>4.7875</v>
      </c>
      <c r="D11" s="12" t="s">
        <v>240</v>
      </c>
    </row>
    <row r="12" customFormat="false" ht="15" hidden="false" customHeight="false" outlineLevel="0" collapsed="false">
      <c r="A12" s="12" t="s">
        <v>241</v>
      </c>
      <c r="B12" s="17" t="n">
        <v>1.5</v>
      </c>
      <c r="C12" s="12"/>
      <c r="D12" s="12" t="s">
        <v>242</v>
      </c>
    </row>
    <row r="14" customFormat="false" ht="15" hidden="false" customHeight="false" outlineLevel="0" collapsed="false">
      <c r="A14" s="11" t="s">
        <v>243</v>
      </c>
      <c r="B14" s="11" t="s">
        <v>0</v>
      </c>
      <c r="C14" s="11"/>
      <c r="D14" s="11" t="s">
        <v>244</v>
      </c>
    </row>
    <row r="15" customFormat="false" ht="15" hidden="false" customHeight="false" outlineLevel="0" collapsed="false">
      <c r="A15" s="12" t="s">
        <v>245</v>
      </c>
      <c r="B15" s="12" t="n">
        <v>7</v>
      </c>
      <c r="C15" s="12"/>
      <c r="D15" s="12" t="s">
        <v>246</v>
      </c>
    </row>
    <row r="16" customFormat="false" ht="15" hidden="false" customHeight="false" outlineLevel="0" collapsed="false">
      <c r="A16" s="12" t="s">
        <v>247</v>
      </c>
      <c r="B16" s="12" t="n">
        <v>13</v>
      </c>
      <c r="C16" s="12"/>
      <c r="D16" s="12" t="s">
        <v>246</v>
      </c>
    </row>
    <row r="17" customFormat="false" ht="15" hidden="false" customHeight="false" outlineLevel="0" collapsed="false">
      <c r="A17" s="12" t="s">
        <v>248</v>
      </c>
      <c r="B17" s="12" t="n">
        <v>17</v>
      </c>
      <c r="C17" s="12"/>
      <c r="D17" s="12" t="s">
        <v>249</v>
      </c>
    </row>
    <row r="18" customFormat="false" ht="15" hidden="false" customHeight="false" outlineLevel="0" collapsed="false">
      <c r="A18" s="12" t="s">
        <v>250</v>
      </c>
      <c r="B18" s="12" t="n">
        <v>21</v>
      </c>
      <c r="C18" s="12"/>
      <c r="D18" s="12" t="s">
        <v>251</v>
      </c>
    </row>
    <row r="19" customFormat="false" ht="15" hidden="false" customHeight="false" outlineLevel="0" collapsed="false">
      <c r="A19" s="12" t="s">
        <v>252</v>
      </c>
      <c r="B19" s="12" t="n">
        <v>22</v>
      </c>
      <c r="C19" s="12"/>
      <c r="D19" s="12" t="s">
        <v>246</v>
      </c>
    </row>
    <row r="20" customFormat="false" ht="15" hidden="false" customHeight="false" outlineLevel="0" collapsed="false">
      <c r="A20" s="12" t="s">
        <v>253</v>
      </c>
      <c r="B20" s="12" t="n">
        <v>26</v>
      </c>
      <c r="C20" s="12"/>
      <c r="D20" s="12" t="s">
        <v>246</v>
      </c>
    </row>
    <row r="21" customFormat="false" ht="15" hidden="false" customHeight="false" outlineLevel="0" collapsed="false">
      <c r="A21" s="12" t="s">
        <v>254</v>
      </c>
      <c r="B21" s="12" t="n">
        <v>32</v>
      </c>
      <c r="C21" s="12"/>
      <c r="D21" s="12" t="s">
        <v>246</v>
      </c>
    </row>
    <row r="22" customFormat="false" ht="15" hidden="false" customHeight="false" outlineLevel="0" collapsed="false">
      <c r="A22" s="12" t="s">
        <v>255</v>
      </c>
      <c r="B22" s="12" t="n">
        <v>40</v>
      </c>
      <c r="C22" s="12"/>
      <c r="D22" s="12" t="s">
        <v>256</v>
      </c>
    </row>
    <row r="24" customFormat="false" ht="15" hidden="false" customHeight="false" outlineLevel="0" collapsed="false">
      <c r="A24" s="11" t="s">
        <v>257</v>
      </c>
      <c r="B24" s="11" t="s">
        <v>258</v>
      </c>
      <c r="C24" s="11"/>
      <c r="D24" s="11"/>
    </row>
    <row r="25" customFormat="false" ht="15" hidden="false" customHeight="false" outlineLevel="0" collapsed="false">
      <c r="A25" s="12" t="s">
        <v>31</v>
      </c>
      <c r="B25" s="12" t="n">
        <f aca="false">COUNTIF(Funnel!C2:C41,"Tutorial*")</f>
        <v>2</v>
      </c>
      <c r="C25" s="12"/>
      <c r="D25" s="12"/>
    </row>
    <row r="26" customFormat="false" ht="15" hidden="false" customHeight="false" outlineLevel="0" collapsed="false">
      <c r="A26" s="12" t="s">
        <v>39</v>
      </c>
      <c r="B26" s="12" t="n">
        <f aca="false">COUNTIF(Funnel!C2:C41,"Teach*")</f>
        <v>8</v>
      </c>
      <c r="C26" s="12"/>
      <c r="D26" s="12"/>
    </row>
    <row r="27" customFormat="false" ht="15" hidden="false" customHeight="false" outlineLevel="0" collapsed="false">
      <c r="A27" s="12" t="s">
        <v>81</v>
      </c>
      <c r="B27" s="12" t="n">
        <f aca="false">COUNTIF(Funnel!C2:C41,"Practice*")</f>
        <v>6</v>
      </c>
      <c r="C27" s="12"/>
      <c r="D27" s="12"/>
    </row>
    <row r="28" customFormat="false" ht="15" hidden="false" customHeight="false" outlineLevel="0" collapsed="false">
      <c r="A28" s="12" t="s">
        <v>60</v>
      </c>
      <c r="B28" s="12" t="n">
        <f aca="false">COUNTIF(Funnel!C2:C41,"Fun*")</f>
        <v>5</v>
      </c>
      <c r="C28" s="12"/>
      <c r="D28" s="12"/>
    </row>
    <row r="29" customFormat="false" ht="15" hidden="false" customHeight="false" outlineLevel="0" collapsed="false">
      <c r="A29" s="12" t="s">
        <v>88</v>
      </c>
      <c r="B29" s="12" t="n">
        <f aca="false">COUNTIF(Funnel!C2:C41,"Relax*")</f>
        <v>7</v>
      </c>
      <c r="C29" s="12"/>
      <c r="D29" s="12"/>
    </row>
    <row r="30" customFormat="false" ht="15" hidden="false" customHeight="false" outlineLevel="0" collapsed="false">
      <c r="A30" s="12" t="s">
        <v>67</v>
      </c>
      <c r="B30" s="12" t="n">
        <f aca="false">COUNTIF(Funnel!C2:C41,"Challenge*")</f>
        <v>8</v>
      </c>
      <c r="C30" s="12"/>
      <c r="D30" s="12"/>
    </row>
    <row r="31" customFormat="false" ht="15" hidden="false" customHeight="false" outlineLevel="0" collapsed="false">
      <c r="A31" s="12" t="s">
        <v>92</v>
      </c>
      <c r="B31" s="12" t="n">
        <f aca="false">COUNTIF(Funnel!C2:C41,"Milestone*")</f>
        <v>3</v>
      </c>
      <c r="C31" s="12"/>
      <c r="D31" s="12"/>
    </row>
    <row r="32" customFormat="false" ht="15" hidden="false" customHeight="false" outlineLevel="0" collapsed="false">
      <c r="A32" s="12" t="s">
        <v>212</v>
      </c>
      <c r="B32" s="12" t="n">
        <f aca="false">COUNTIF(Funnel!C2:C41,"Finale*")</f>
        <v>1</v>
      </c>
      <c r="C32" s="12"/>
      <c r="D32" s="12"/>
    </row>
    <row r="33" customFormat="false" ht="15" hidden="false" customHeight="false" outlineLevel="0" collapsed="false">
      <c r="A33" s="18" t="s">
        <v>216</v>
      </c>
      <c r="B33" s="18" t="n">
        <f aca="false">SUM(B25:B32)</f>
        <v>40</v>
      </c>
      <c r="C33" s="12"/>
      <c r="D33" s="12"/>
    </row>
    <row r="35" customFormat="false" ht="15" hidden="false" customHeight="false" outlineLevel="0" collapsed="false">
      <c r="A35" s="12" t="s">
        <v>259</v>
      </c>
      <c r="B35" s="12" t="n">
        <f aca="false">COUNTIF(Funnel!J2:J41,TRUE())</f>
        <v>22</v>
      </c>
      <c r="C35" s="12"/>
      <c r="D35" s="12" t="s">
        <v>260</v>
      </c>
    </row>
    <row r="37" customFormat="false" ht="15" hidden="false" customHeight="false" outlineLevel="0" collapsed="false">
      <c r="A37" s="11" t="s">
        <v>261</v>
      </c>
      <c r="B37" s="11" t="s">
        <v>258</v>
      </c>
      <c r="C37" s="11"/>
      <c r="D37" s="11" t="s">
        <v>262</v>
      </c>
    </row>
    <row r="38" customFormat="false" ht="15" hidden="false" customHeight="false" outlineLevel="0" collapsed="false">
      <c r="A38" s="12" t="s">
        <v>263</v>
      </c>
      <c r="B38" s="12" t="n">
        <f aca="false">COUNTIF(Funnel!D2:D41,2)</f>
        <v>8</v>
      </c>
      <c r="C38" s="12"/>
      <c r="D38" s="12" t="s">
        <v>264</v>
      </c>
    </row>
    <row r="39" customFormat="false" ht="15" hidden="false" customHeight="false" outlineLevel="0" collapsed="false">
      <c r="A39" s="12" t="s">
        <v>265</v>
      </c>
      <c r="B39" s="12" t="n">
        <f aca="false">COUNTIF(Funnel!D2:D41,3)</f>
        <v>26</v>
      </c>
      <c r="C39" s="12"/>
      <c r="D39" s="12" t="s">
        <v>266</v>
      </c>
    </row>
    <row r="40" customFormat="false" ht="15" hidden="false" customHeight="false" outlineLevel="0" collapsed="false">
      <c r="A40" s="12" t="s">
        <v>267</v>
      </c>
      <c r="B40" s="12" t="n">
        <f aca="false">COUNTIF(Funnel!D2:D41,4)</f>
        <v>4</v>
      </c>
      <c r="C40" s="12"/>
      <c r="D40" s="12" t="s">
        <v>268</v>
      </c>
    </row>
    <row r="41" customFormat="false" ht="15" hidden="false" customHeight="false" outlineLevel="0" collapsed="false">
      <c r="A41" s="12" t="s">
        <v>269</v>
      </c>
      <c r="B41" s="12" t="n">
        <f aca="false">COUNTIF(Funnel!D2:D41,5)</f>
        <v>2</v>
      </c>
      <c r="C41" s="12"/>
      <c r="D41" s="12" t="s">
        <v>270</v>
      </c>
    </row>
    <row r="46" customFormat="false" ht="15" hidden="false" customHeight="false" outlineLevel="0" collapsed="false">
      <c r="A46" s="7" t="s">
        <v>271</v>
      </c>
    </row>
    <row r="47" customFormat="false" ht="15" hidden="false" customHeight="false" outlineLevel="0" collapsed="false">
      <c r="A47" s="11" t="s">
        <v>272</v>
      </c>
      <c r="B47" s="11" t="s">
        <v>273</v>
      </c>
      <c r="C47" s="11"/>
      <c r="D47" s="11" t="s">
        <v>229</v>
      </c>
    </row>
    <row r="48" customFormat="false" ht="15" hidden="false" customHeight="false" outlineLevel="0" collapsed="false">
      <c r="A48" s="19" t="n">
        <v>0</v>
      </c>
      <c r="B48" s="12" t="n">
        <v>10</v>
      </c>
      <c r="C48" s="12"/>
      <c r="D48" s="12" t="s">
        <v>274</v>
      </c>
    </row>
    <row r="49" customFormat="false" ht="15" hidden="false" customHeight="false" outlineLevel="0" collapsed="false">
      <c r="A49" s="19" t="n">
        <v>0.115</v>
      </c>
      <c r="B49" s="12" t="n">
        <v>9</v>
      </c>
      <c r="C49" s="12"/>
      <c r="D49" s="12" t="s">
        <v>275</v>
      </c>
    </row>
    <row r="50" customFormat="false" ht="15" hidden="false" customHeight="false" outlineLevel="0" collapsed="false">
      <c r="A50" s="19" t="n">
        <v>0.17</v>
      </c>
      <c r="B50" s="12" t="n">
        <v>8</v>
      </c>
      <c r="C50" s="12"/>
      <c r="D50" s="12" t="s">
        <v>275</v>
      </c>
    </row>
    <row r="51" customFormat="false" ht="15" hidden="false" customHeight="false" outlineLevel="0" collapsed="false">
      <c r="A51" s="19" t="n">
        <v>0.24</v>
      </c>
      <c r="B51" s="12" t="n">
        <v>7</v>
      </c>
      <c r="C51" s="12"/>
      <c r="D51" s="12" t="s">
        <v>275</v>
      </c>
    </row>
    <row r="52" customFormat="false" ht="15" hidden="false" customHeight="false" outlineLevel="0" collapsed="false">
      <c r="A52" s="19" t="n">
        <v>0.325</v>
      </c>
      <c r="B52" s="12" t="n">
        <v>6</v>
      </c>
      <c r="C52" s="12"/>
      <c r="D52" s="12" t="s">
        <v>275</v>
      </c>
    </row>
    <row r="53" customFormat="false" ht="15" hidden="false" customHeight="false" outlineLevel="0" collapsed="false">
      <c r="A53" s="19" t="n">
        <v>0.425</v>
      </c>
      <c r="B53" s="12" t="n">
        <v>5</v>
      </c>
      <c r="C53" s="12"/>
      <c r="D53" s="12" t="s">
        <v>275</v>
      </c>
    </row>
    <row r="54" customFormat="false" ht="15" hidden="false" customHeight="false" outlineLevel="0" collapsed="false">
      <c r="A54" s="19" t="n">
        <v>0.525</v>
      </c>
      <c r="B54" s="12" t="n">
        <v>4</v>
      </c>
      <c r="C54" s="12"/>
      <c r="D54" s="12" t="s">
        <v>275</v>
      </c>
    </row>
    <row r="55" customFormat="false" ht="15" hidden="false" customHeight="false" outlineLevel="0" collapsed="false">
      <c r="A55" s="19" t="n">
        <v>0.65</v>
      </c>
      <c r="B55" s="12" t="n">
        <v>3</v>
      </c>
      <c r="C55" s="12"/>
      <c r="D55" s="12" t="s">
        <v>275</v>
      </c>
    </row>
    <row r="56" customFormat="false" ht="15" hidden="false" customHeight="false" outlineLevel="0" collapsed="false">
      <c r="A56" s="19" t="n">
        <v>0.85</v>
      </c>
      <c r="B56" s="12" t="n">
        <v>2</v>
      </c>
      <c r="C56" s="12"/>
      <c r="D56" s="12" t="s">
        <v>275</v>
      </c>
    </row>
    <row r="57" customFormat="false" ht="15" hidden="false" customHeight="false" outlineLevel="0" collapsed="false">
      <c r="A57" s="19" t="n">
        <v>1</v>
      </c>
      <c r="B57" s="12" t="n">
        <v>1</v>
      </c>
      <c r="C57" s="12"/>
      <c r="D57" s="12" t="s">
        <v>276</v>
      </c>
    </row>
    <row r="58" customFormat="false" ht="15" hidden="false" customHeight="false" outlineLevel="0" collapsed="false">
      <c r="A58" s="10" t="s">
        <v>277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2026-10-16T18:02:11Z</dcterms:created>
  <dc:creator>openpyxl</dc:creator>
  <dc:description/>
  <dc:language>en-US</dc:language>
  <cp:lastModifiedBy/>
  <dcterms:modified xsi:type="dcterms:W3CDTF">2026-10-16T18:02:11Z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