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nel" sheetId="1" state="visible" r:id="rId3"/>
    <sheet name="Curve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<sst xmlns="http://schemas.openxmlformats.org/spreadsheetml/2006/main" count="466" uniqueCount="306">
  <si>
    <t xml:space="preserve">Level</t>
  </si>
  <si>
    <t xml:space="preserve">Id</t>
  </si>
  <si>
    <t xml:space="preserve">Role</t>
  </si>
  <si>
    <t xml:space="preserve">Target diff</t>
  </si>
  <si>
    <t xml:space="preserve">Band low</t>
  </si>
  <si>
    <t xml:space="preserve">Band high</t>
  </si>
  <si>
    <t xml:space="preserve">Random win rate</t>
  </si>
  <si>
    <t xml:space="preserve">Measured diff</t>
  </si>
  <si>
    <t xml:space="preserve">In band</t>
  </si>
  <si>
    <t xml:space="preserve">Ramps (columns x rows)</t>
  </si>
  <si>
    <t xml:space="preserve">Ramps</t>
  </si>
  <si>
    <t xml:space="preserve">Colours</t>
  </si>
  <si>
    <t xml:space="preserve">Stickmen</t>
  </si>
  <si>
    <t xml:space="preserve">Stickmen per colour</t>
  </si>
  <si>
    <t xml:space="preserve">Buses 4-seat</t>
  </si>
  <si>
    <t xml:space="preserve">Buses 6-seat</t>
  </si>
  <si>
    <t xml:space="preserve">Buses 8-seat</t>
  </si>
  <si>
    <t xml:space="preserve">Buses 12-seat</t>
  </si>
  <si>
    <t xml:space="preserve">Buses total</t>
  </si>
  <si>
    <t xml:space="preserve">Blockers</t>
  </si>
  <si>
    <t xml:space="preserve">Tutorial / popup</t>
  </si>
  <si>
    <t xml:space="preserve">Road shape</t>
  </si>
  <si>
    <t xml:space="preserve">Ramp shape</t>
  </si>
  <si>
    <t xml:space="preserve">Greedy 1x (s)</t>
  </si>
  <si>
    <t xml:space="preserve">Greedy 2x (s)</t>
  </si>
  <si>
    <t xml:space="preserve">Random wins</t>
  </si>
  <si>
    <t xml:space="preserve">Random fails</t>
  </si>
  <si>
    <t xml:space="preserve">Random unfinished</t>
  </si>
  <si>
    <t xml:space="preserve">Ramp changes (did not fit the target zone)</t>
  </si>
  <si>
    <t xml:space="preserve">f01</t>
  </si>
  <si>
    <t xml:space="preserve">Tutorial</t>
  </si>
  <si>
    <t xml:space="preserve">4x4</t>
  </si>
  <si>
    <t xml:space="preserve">red 8, blue 8</t>
  </si>
  <si>
    <t xml:space="preserve">-</t>
  </si>
  <si>
    <t xml:space="preserve">Tutorial: hand pointer, first sends</t>
  </si>
  <si>
    <t xml:space="preserve">short road, one gentle curve</t>
  </si>
  <si>
    <t xml:space="preserve">one diagonal ramp (built: straight)</t>
  </si>
  <si>
    <t xml:space="preserve">f02</t>
  </si>
  <si>
    <t xml:space="preserve">Teach</t>
  </si>
  <si>
    <t xml:space="preserve">4x4, 4x4</t>
  </si>
  <si>
    <t xml:space="preserve">red 8, yellow 8, blue 16</t>
  </si>
  <si>
    <t xml:space="preserve">S-curve, ramps on both sides</t>
  </si>
  <si>
    <t xml:space="preserve">square bleachers on both sides (built: straight)</t>
  </si>
  <si>
    <t xml:space="preserve">f03</t>
  </si>
  <si>
    <t xml:space="preserve">Tutorial (bay re-send)</t>
  </si>
  <si>
    <t xml:space="preserve">5x4, 5x4</t>
  </si>
  <si>
    <t xml:space="preserve">red 8, yellow 16, blue 16</t>
  </si>
  <si>
    <t xml:space="preserve">Tutorial: hand pointer, parked bus re-send</t>
  </si>
  <si>
    <t xml:space="preserve">longer S-curve</t>
  </si>
  <si>
    <t xml:space="preserve">two diagonal ramps (built: straight)</t>
  </si>
  <si>
    <t xml:space="preserve">f04</t>
  </si>
  <si>
    <t xml:space="preserve">Teach (bus sizes)</t>
  </si>
  <si>
    <t xml:space="preserve">4x7, 4x6</t>
  </si>
  <si>
    <t xml:space="preserve">red 12, yellow 16, green 12, blue 12</t>
  </si>
  <si>
    <t xml:space="preserve">long almost straight road</t>
  </si>
  <si>
    <t xml:space="preserve">long narrow diagonal ramps (built: diagonal (35 deg))</t>
  </si>
  <si>
    <t xml:space="preserve">f05</t>
  </si>
  <si>
    <t xml:space="preserve">Fun</t>
  </si>
  <si>
    <t xml:space="preserve">4x6, 4x5, 4x5</t>
  </si>
  <si>
    <t xml:space="preserve">red 16, yellow 20, green 12, blue 16</t>
  </si>
  <si>
    <t xml:space="preserve">first spiral</t>
  </si>
  <si>
    <t xml:space="preserve">bleachers before and after the spiral (built: straight)</t>
  </si>
  <si>
    <t xml:space="preserve">f06</t>
  </si>
  <si>
    <t xml:space="preserve">Challenge</t>
  </si>
  <si>
    <t xml:space="preserve">6x4, 6x4, 6x4</t>
  </si>
  <si>
    <t xml:space="preserve">red 20, yellow 16, green 16, blue 20</t>
  </si>
  <si>
    <t xml:space="preserve">zigzag</t>
  </si>
  <si>
    <t xml:space="preserve">wide shallow bleachers outside the corners (built: straight)</t>
  </si>
  <si>
    <t xml:space="preserve">f07</t>
  </si>
  <si>
    <t xml:space="preserve">Teach + POPUP</t>
  </si>
  <si>
    <t xml:space="preserve">8x4, 8x4</t>
  </si>
  <si>
    <t xml:space="preserve">red 16, yellow 16, green 16, blue 16</t>
  </si>
  <si>
    <t xml:space="preserve">1 hidden bus</t>
  </si>
  <si>
    <t xml:space="preserve">Intro popup: Hidden Bus</t>
  </si>
  <si>
    <t xml:space="preserve">wide hairpin</t>
  </si>
  <si>
    <t xml:space="preserve">one ramp inside the hairpin, one outside (built: straight)</t>
  </si>
  <si>
    <t xml:space="preserve">f08</t>
  </si>
  <si>
    <t xml:space="preserve">Practice</t>
  </si>
  <si>
    <t xml:space="preserve">7x4, 7x4, 7x4</t>
  </si>
  <si>
    <t xml:space="preserve">red 20, yellow 12, green 16, blue 20, purple 16</t>
  </si>
  <si>
    <t xml:space="preserve">2 hidden buses</t>
  </si>
  <si>
    <t xml:space="preserve">S-curve + spiral</t>
  </si>
  <si>
    <t xml:space="preserve">curved arc ramps (built: curved)</t>
  </si>
  <si>
    <t xml:space="preserve">f09</t>
  </si>
  <si>
    <t xml:space="preserve">Relax</t>
  </si>
  <si>
    <t xml:space="preserve">4x10, 4x9</t>
  </si>
  <si>
    <t xml:space="preserve">red 18, yellow 22, green 14, blue 22</t>
  </si>
  <si>
    <t xml:space="preserve">long gentle curve</t>
  </si>
  <si>
    <t xml:space="preserve">long narrow diagonal ramps (built: straight)</t>
  </si>
  <si>
    <t xml:space="preserve">f10</t>
  </si>
  <si>
    <t xml:space="preserve">Milestone</t>
  </si>
  <si>
    <t xml:space="preserve">8x5, 8x4, 8x4</t>
  </si>
  <si>
    <t xml:space="preserve">red 22, yellow 16, green 22, blue 18, purple 26</t>
  </si>
  <si>
    <t xml:space="preserve">3 hidden buses</t>
  </si>
  <si>
    <t xml:space="preserve">double S</t>
  </si>
  <si>
    <t xml:space="preserve">bleachers in the S pockets (built: straight)</t>
  </si>
  <si>
    <t xml:space="preserve">f11</t>
  </si>
  <si>
    <t xml:space="preserve">6x7, 6x7</t>
  </si>
  <si>
    <t xml:space="preserve">red 20, yellow 24, green 24, blue 16</t>
  </si>
  <si>
    <t xml:space="preserve">wide loop</t>
  </si>
  <si>
    <t xml:space="preserve">curved arc ramps inside the loop (built: curved)</t>
  </si>
  <si>
    <t xml:space="preserve">f12</t>
  </si>
  <si>
    <t xml:space="preserve">7x4, 7x4, 7x4, 7x4</t>
  </si>
  <si>
    <t xml:space="preserve">red 24, yellow 28, green 22, blue 18, purple 20</t>
  </si>
  <si>
    <t xml:space="preserve">straight road with a slight wave</t>
  </si>
  <si>
    <t xml:space="preserve">four bleachers alternating sides (built: straight)</t>
  </si>
  <si>
    <t xml:space="preserve">f13</t>
  </si>
  <si>
    <t xml:space="preserve">8x4, 8x4, 8x4</t>
  </si>
  <si>
    <t xml:space="preserve">red 18, yellow 16, green 22, blue 20, purple 20</t>
  </si>
  <si>
    <t xml:space="preserve">2 connected pairs</t>
  </si>
  <si>
    <t xml:space="preserve">Intro popup: Connected Buses</t>
  </si>
  <si>
    <t xml:space="preserve">gentle S</t>
  </si>
  <si>
    <t xml:space="preserve">diagonal ramps (built: straight)</t>
  </si>
  <si>
    <t xml:space="preserve">f14</t>
  </si>
  <si>
    <t xml:space="preserve">8x5, 8x5, 8x5</t>
  </si>
  <si>
    <t xml:space="preserve">red 20, yellow 26, green 30, blue 18, purple 26</t>
  </si>
  <si>
    <t xml:space="preserve">spiral in the middle</t>
  </si>
  <si>
    <t xml:space="preserve">arc ramps around the spiral (built: curved)</t>
  </si>
  <si>
    <t xml:space="preserve">f15</t>
  </si>
  <si>
    <t xml:space="preserve">16x4, 16x4</t>
  </si>
  <si>
    <t xml:space="preserve">red 28, yellow 24, green 24, blue 24, purple 28</t>
  </si>
  <si>
    <t xml:space="preserve">straight road</t>
  </si>
  <si>
    <t xml:space="preserve">two very wide fan ramps (built: fan)</t>
  </si>
  <si>
    <t xml:space="preserve">f16</t>
  </si>
  <si>
    <t xml:space="preserve">6x6, 6x6, 6x6, 6x6</t>
  </si>
  <si>
    <t xml:space="preserve">red 22, orange 20, yellow 18, green 32, blue 30, purple 22</t>
  </si>
  <si>
    <t xml:space="preserve">2 hidden buses, 2 connected pairs</t>
  </si>
  <si>
    <t xml:space="preserve">zigzag + spiral</t>
  </si>
  <si>
    <t xml:space="preserve">f17</t>
  </si>
  <si>
    <t xml:space="preserve">Teach (no popup, short hint)</t>
  </si>
  <si>
    <t xml:space="preserve">red 22, yellow 20, green 26, blue 28, purple 24</t>
  </si>
  <si>
    <t xml:space="preserve">1 connected triple</t>
  </si>
  <si>
    <t xml:space="preserve">Short hint: triple connected buses</t>
  </si>
  <si>
    <t xml:space="preserve">hairpin</t>
  </si>
  <si>
    <t xml:space="preserve">bleachers inside and outside the hairpin (built: straight)</t>
  </si>
  <si>
    <t xml:space="preserve">f18</t>
  </si>
  <si>
    <t xml:space="preserve">8x5, 8x5, 8x4</t>
  </si>
  <si>
    <t xml:space="preserve">red 24, yellow 26, green 26, blue 20, purple 16</t>
  </si>
  <si>
    <t xml:space="preserve">long smooth curve</t>
  </si>
  <si>
    <t xml:space="preserve">L-shaped ramps (built: curved, straight)</t>
  </si>
  <si>
    <t xml:space="preserve">ramp 3: shape L did not fit, built as diag</t>
  </si>
  <si>
    <t xml:space="preserve">f19</t>
  </si>
  <si>
    <t xml:space="preserve">8x5, 8x5, 9x4, 9x4</t>
  </si>
  <si>
    <t xml:space="preserve">red 28, orange 28, yellow 20, green 28, blue 22, purple 26</t>
  </si>
  <si>
    <t xml:space="preserve">2 connected pairs, 2 connected triples</t>
  </si>
  <si>
    <t xml:space="preserve">double spiral</t>
  </si>
  <si>
    <t xml:space="preserve">arc and diagonal ramps between the spirals (built: curved, straight)</t>
  </si>
  <si>
    <t xml:space="preserve">f20</t>
  </si>
  <si>
    <t xml:space="preserve">11x4, 11x4, 11x4, 11x4</t>
  </si>
  <si>
    <t xml:space="preserve">red 26, orange 28, yellow 26, green 26, blue 34, purple 36</t>
  </si>
  <si>
    <t xml:space="preserve">2 hidden buses, 2 connected triples</t>
  </si>
  <si>
    <t xml:space="preserve">long winding road</t>
  </si>
  <si>
    <t xml:space="preserve">wide diagonal ramps in the bends (built: straight)</t>
  </si>
  <si>
    <t xml:space="preserve">f21</t>
  </si>
  <si>
    <t xml:space="preserve">Teach (combo, no popup)</t>
  </si>
  <si>
    <t xml:space="preserve">8x6, 8x6, 11x4</t>
  </si>
  <si>
    <t xml:space="preserve">red 26, orange 20, yellow 26, green 26, blue 20, purple 22</t>
  </si>
  <si>
    <t xml:space="preserve">S-curve</t>
  </si>
  <si>
    <t xml:space="preserve">two square ramps and a wedge (built: straight, wedge)</t>
  </si>
  <si>
    <t xml:space="preserve">f22</t>
  </si>
  <si>
    <t xml:space="preserve">red 24, yellow 28, green 28, blue 24, purple 24</t>
  </si>
  <si>
    <t xml:space="preserve">gentle curve</t>
  </si>
  <si>
    <t xml:space="preserve">wide fan ramps at an angle (built: fan)</t>
  </si>
  <si>
    <t xml:space="preserve">f23</t>
  </si>
  <si>
    <t xml:space="preserve">7x6, 7x6, 7x6, 7x6</t>
  </si>
  <si>
    <t xml:space="preserve">red 28, orange 18, yellow 32, green 32, blue 28, purple 30</t>
  </si>
  <si>
    <t xml:space="preserve">2 hidden buses, 3 connected pairs</t>
  </si>
  <si>
    <t xml:space="preserve">deep bleachers outside the corners (built: straight)</t>
  </si>
  <si>
    <t xml:space="preserve">f24</t>
  </si>
  <si>
    <t xml:space="preserve">8x4, 8x4, 8x4, 8x4, 8x8</t>
  </si>
  <si>
    <t xml:space="preserve">red 32, orange 32, yellow 28, green 32, blue 36, purple 32</t>
  </si>
  <si>
    <t xml:space="preserve">straight road with a wave</t>
  </si>
  <si>
    <t xml:space="preserve">four small ramps and one big ramp near the end (built: straight)</t>
  </si>
  <si>
    <t xml:space="preserve">f25</t>
  </si>
  <si>
    <t xml:space="preserve">8x6, 8x6, 8x6, 8x6</t>
  </si>
  <si>
    <t xml:space="preserve">red 24, orange 24, yellow 30, green 22, cyan 28, blue 32, purple 32</t>
  </si>
  <si>
    <t xml:space="preserve">spiral + hairpin</t>
  </si>
  <si>
    <t xml:space="preserve">arc ramps (built: curved, straight)</t>
  </si>
  <si>
    <t xml:space="preserve">f26</t>
  </si>
  <si>
    <t xml:space="preserve">8x6, 8x6, 8x6</t>
  </si>
  <si>
    <t xml:space="preserve">red 22, orange 26, yellow 22, green 22, blue 28, purple 24</t>
  </si>
  <si>
    <t xml:space="preserve">tunnel (green, 8)</t>
  </si>
  <si>
    <t xml:space="preserve">Intro popup: Colorful Tunnel</t>
  </si>
  <si>
    <t xml:space="preserve">f27</t>
  </si>
  <si>
    <t xml:space="preserve">red 32, orange 28, yellow 34, green 20, blue 26, purple 36</t>
  </si>
  <si>
    <t xml:space="preserve">tunnel (purple, 8), tunnel (blue, 8)</t>
  </si>
  <si>
    <t xml:space="preserve">long wide bleachers (built: straight)</t>
  </si>
  <si>
    <t xml:space="preserve">f28</t>
  </si>
  <si>
    <t xml:space="preserve">8x6, 8x6, 8x7</t>
  </si>
  <si>
    <t xml:space="preserve">red 20, orange 32, yellow 32, green 24, blue 20, purple 24</t>
  </si>
  <si>
    <t xml:space="preserve">tunnel (yellow, 6)</t>
  </si>
  <si>
    <t xml:space="preserve">arc ramps inside the loop (built: curved, straight)</t>
  </si>
  <si>
    <t xml:space="preserve">f29</t>
  </si>
  <si>
    <t xml:space="preserve">13x4, 13x4, 13x4, 13x4</t>
  </si>
  <si>
    <t xml:space="preserve">red 28, orange 30, yellow 24, green 32, cyan 28, blue 34, purple 32</t>
  </si>
  <si>
    <t xml:space="preserve">3 connected pairs, tunnel (orange, 8)</t>
  </si>
  <si>
    <t xml:space="preserve">very wide bleachers (built: straight)</t>
  </si>
  <si>
    <t xml:space="preserve">f30</t>
  </si>
  <si>
    <t xml:space="preserve">8x6, 8x6, 8x6, 8x6, 8x6</t>
  </si>
  <si>
    <t xml:space="preserve">red 40, orange 42, yellow 30, green 24, cyan 24, blue 40, purple 40</t>
  </si>
  <si>
    <t xml:space="preserve">2 hidden buses, 2 connected triples, tunnel (yellow, 8)</t>
  </si>
  <si>
    <t xml:space="preserve">long road with a spiral</t>
  </si>
  <si>
    <t xml:space="preserve">five ramps, mixed shapes (built: curved, straight)</t>
  </si>
  <si>
    <t xml:space="preserve">f31</t>
  </si>
  <si>
    <t xml:space="preserve">20x4, 20x4</t>
  </si>
  <si>
    <t xml:space="preserve">red 24, orange 32, yellow 20, green 32, blue 28, purple 24</t>
  </si>
  <si>
    <t xml:space="preserve">gentle almost straight road</t>
  </si>
  <si>
    <t xml:space="preserve">two very wide bleachers (built: straight)</t>
  </si>
  <si>
    <t xml:space="preserve">f32</t>
  </si>
  <si>
    <t xml:space="preserve">8x7, 8x7, 8x7</t>
  </si>
  <si>
    <t xml:space="preserve">red 32, orange 26, yellow 28, green 24, blue 34, purple 24</t>
  </si>
  <si>
    <t xml:space="preserve">lock &amp; key</t>
  </si>
  <si>
    <t xml:space="preserve">Intro popup: Lock &amp; Key</t>
  </si>
  <si>
    <t xml:space="preserve">L-shaped ramps (built: curved)</t>
  </si>
  <si>
    <t xml:space="preserve">f33</t>
  </si>
  <si>
    <t xml:space="preserve">10x5, 10x5, 10x5, 10x5</t>
  </si>
  <si>
    <t xml:space="preserve">red 24, orange 34, yellow 32, green 26, cyan 28, blue 32, purple 24</t>
  </si>
  <si>
    <t xml:space="preserve">wide diagonal ramps (built: straight)</t>
  </si>
  <si>
    <t xml:space="preserve">f34</t>
  </si>
  <si>
    <t xml:space="preserve">8x6, 8x6, 8x6, 8x6, 8x5</t>
  </si>
  <si>
    <t xml:space="preserve">red 32, orange 36, yellow 32, green 36, cyan 32, blue 36, purple 28</t>
  </si>
  <si>
    <t xml:space="preserve">tunnel (blue, 6)</t>
  </si>
  <si>
    <t xml:space="preserve">gentle wave</t>
  </si>
  <si>
    <t xml:space="preserve">five ramps (built: straight)</t>
  </si>
  <si>
    <t xml:space="preserve">f35</t>
  </si>
  <si>
    <t xml:space="preserve">12x5, 10x6, 10x6, 10x6</t>
  </si>
  <si>
    <t xml:space="preserve">red 40, orange 24, yellow 34, green 24, cyan 36, blue 42, purple 40</t>
  </si>
  <si>
    <t xml:space="preserve">3 connected pairs, lock &amp; key</t>
  </si>
  <si>
    <t xml:space="preserve">ramp 1: 10x6 did not fit, built as 12x5</t>
  </si>
  <si>
    <t xml:space="preserve">f36</t>
  </si>
  <si>
    <t xml:space="preserve">10x6, 10x6, 8x8</t>
  </si>
  <si>
    <t xml:space="preserve">red 34, orange 34, yellow 30, green 30, blue 32, purple 24</t>
  </si>
  <si>
    <t xml:space="preserve">two wedges and a big square ramp (built: straight, wedge)</t>
  </si>
  <si>
    <t xml:space="preserve">f37</t>
  </si>
  <si>
    <t xml:space="preserve">8x6, 8x6, 8x6, 8x6, 8x8</t>
  </si>
  <si>
    <t xml:space="preserve">red 40, orange 34, yellow 32, green 34, cyan 50, blue 34, purple 32</t>
  </si>
  <si>
    <t xml:space="preserve">2 hidden buses, tunnel (cyan, 8)</t>
  </si>
  <si>
    <t xml:space="preserve">mixed shapes (built: curved, straight)</t>
  </si>
  <si>
    <t xml:space="preserve">f38</t>
  </si>
  <si>
    <t xml:space="preserve">8x7, 8x7, 8x7, 8x7, 8x7</t>
  </si>
  <si>
    <t xml:space="preserve">red 42, orange 32, yellow 32, green 30, cyan 32, blue 42, purple 38, pink 32</t>
  </si>
  <si>
    <t xml:space="preserve">5 connected pairs, tunnel (red, 8), lock &amp; key</t>
  </si>
  <si>
    <t xml:space="preserve">five deep ramps (built: straight)</t>
  </si>
  <si>
    <t xml:space="preserve">f39</t>
  </si>
  <si>
    <t xml:space="preserve">11x6, 11x6, 11x6, 11x6</t>
  </si>
  <si>
    <t xml:space="preserve">red 40, orange 32, yellow 36, green 44, cyan 36, blue 40, purple 36</t>
  </si>
  <si>
    <t xml:space="preserve">tunnel (red, 6)</t>
  </si>
  <si>
    <t xml:space="preserve">big curves</t>
  </si>
  <si>
    <t xml:space="preserve">wide fans in the curves (built: fan)</t>
  </si>
  <si>
    <t xml:space="preserve">f40</t>
  </si>
  <si>
    <t xml:space="preserve">Finale</t>
  </si>
  <si>
    <t xml:space="preserve">8x6, 8x6, 8x8, 8x6, 8x8, 4x12</t>
  </si>
  <si>
    <t xml:space="preserve">red 42, orange 28, yellow 28, green 32, cyan 48, blue 50, purple 48, pink 44</t>
  </si>
  <si>
    <t xml:space="preserve">2 hidden buses, 2 connected pairs, 2 connected triples, tunnel (pink, 8), lock &amp; key</t>
  </si>
  <si>
    <t xml:space="preserve">longest road, two spirals</t>
  </si>
  <si>
    <t xml:space="preserve">six ramps, two big ones (built: straight)</t>
  </si>
  <si>
    <t xml:space="preserve">ramp 3: shape perp did not fit, built as diag; ramp 6: 8x6 did not fit, built as 4x12</t>
  </si>
  <si>
    <t xml:space="preserve">Total</t>
  </si>
  <si>
    <t xml:space="preserve">Target diff and band: the design table (random-bot win rate band per difficulty: 1-2 &gt;= 70%, 3: 55-75%, 4: 45-60%, 5: 35-50%, 6: 25-40%, 7: 18-30%, 8: 12-22%, 9: 8-15%).</t>
  </si>
  <si>
    <t xml:space="preserve">Random bot: 200 games per level (seeds 1000-1199), a uniformly random legal send every 0.4 s whenever the road counter is below 5. Win rate = wins / games.</t>
  </si>
  <si>
    <t xml:space="preserve">Random fails: a returning bus found no free bay. Unfinished: no result after 1500 game seconds - the bot kept re-sending buses that could not fill, so the road never had room for the rest (a player who waits can always go on). Unfinished games count as not won.</t>
  </si>
  <si>
    <t xml:space="preserve">Measured diff: the win rate placed on the difficulty scale on the Summary sheet (straight-line between band centres).</t>
  </si>
  <si>
    <t xml:space="preserve">Greedy 1x: game seconds for the greedy bot (always sends the bus with the most matching stickmen at the fronts, waits when nothing matches). 2x = the same game at double speed.</t>
  </si>
  <si>
    <t xml:space="preserve">Levels 1-5 cannot be lost (no fail before level 6): each was played 1000 times by the random bot and 6 times by an adversarial bot without a loss. That puts level 4 above its band (55-75%).</t>
  </si>
  <si>
    <t xml:space="preserve">Match Express - 40-level funnel</t>
  </si>
  <si>
    <t xml:space="preserve">Playtime (greedy bot)</t>
  </si>
  <si>
    <t xml:space="preserve">Seconds</t>
  </si>
  <si>
    <t xml:space="preserve">Minutes</t>
  </si>
  <si>
    <t xml:space="preserve">Note</t>
  </si>
  <si>
    <t xml:space="preserve">Total, all 40 levels, at 1x</t>
  </si>
  <si>
    <t xml:space="preserve">Game time of the greedy bot (a player who never waits needlessly)</t>
  </si>
  <si>
    <t xml:space="preserve">Total, all 40 levels, at 2x</t>
  </si>
  <si>
    <t xml:space="preserve">Target: at least 35 minutes at 2x</t>
  </si>
  <si>
    <t xml:space="preserve">Meets the 35-minute target at 2x</t>
  </si>
  <si>
    <t xml:space="preserve">First session estimate (levels 1-12)</t>
  </si>
  <si>
    <t xml:space="preserve">Levels 1-12 at 1x</t>
  </si>
  <si>
    <t xml:space="preserve">Greedy play: the fastest clean run</t>
  </si>
  <si>
    <t xml:space="preserve">Levels 1-12 at 2x</t>
  </si>
  <si>
    <t xml:space="preserve">Levels 1-12 at 1x, with menus and retries</t>
  </si>
  <si>
    <t xml:space="preserve">Greedy time times the factor below</t>
  </si>
  <si>
    <t xml:space="preserve">Factor for a first-time player (assumption)</t>
  </si>
  <si>
    <t xml:space="preserve">Assumption, edit to taste: popups, tutorials, thinking and the odd retry</t>
  </si>
  <si>
    <t xml:space="preserve">Blocker introductions</t>
  </si>
  <si>
    <t xml:space="preserve">How it is introduced</t>
  </si>
  <si>
    <t xml:space="preserve">Hidden Bus</t>
  </si>
  <si>
    <t xml:space="preserve">Intro popup (first appearance only)</t>
  </si>
  <si>
    <t xml:space="preserve">Connected Buses (pairs)</t>
  </si>
  <si>
    <t xml:space="preserve">Hidden Bus + Connected (first combination)</t>
  </si>
  <si>
    <t xml:space="preserve">No popup</t>
  </si>
  <si>
    <t xml:space="preserve">Connected triple</t>
  </si>
  <si>
    <t xml:space="preserve">Short non-blocking hint</t>
  </si>
  <si>
    <t xml:space="preserve">Colorful Tunnel</t>
  </si>
  <si>
    <t xml:space="preserve">Lock &amp; Key</t>
  </si>
  <si>
    <t xml:space="preserve">All four blockers together</t>
  </si>
  <si>
    <t xml:space="preserve">No popup (finale)</t>
  </si>
  <si>
    <t xml:space="preserve">Levels per role</t>
  </si>
  <si>
    <t xml:space="preserve">Levels</t>
  </si>
  <si>
    <t xml:space="preserve">Levels in their difficulty band</t>
  </si>
  <si>
    <t xml:space="preserve">Random-bot win rate inside the target band</t>
  </si>
  <si>
    <t xml:space="preserve">Difficulty scale (used by Funnel!Measured diff)</t>
  </si>
  <si>
    <t xml:space="preserve">Random win rate (band centre)</t>
  </si>
  <si>
    <t xml:space="preserve">Difficulty</t>
  </si>
  <si>
    <t xml:space="preserve">No wins</t>
  </si>
  <si>
    <t xml:space="preserve">Centre of the target band</t>
  </si>
  <si>
    <t xml:space="preserve">All wins</t>
  </si>
  <si>
    <t xml:space="preserve">Between two rows the difficulty is read off a straight line.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</si>
</sst>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"/>
    <numFmt numFmtId="167" formatCode="General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B5FA8"/>
        <bgColor rgb="FF2A78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FDA"/>
      </left>
      <right style="thin">
        <color rgb="FFC8CFDA"/>
      </right>
      <top style="thin">
        <color rgb="FFC8CFDA"/>
      </top>
      <bottom style="thin">
        <color rgb="FFC8CF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F2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CCFFFF"/>
      <rgbColor rgb="FF660066"/>
      <rgbColor rgb="FFFF8080"/>
      <rgbColor rgb="FF2B5FA8"/>
      <rgbColor rgb="FFC8CF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2D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Difficulty per level: target vs measured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Curve!B1</c:f>
              <c:strCache>
                <c:ptCount val="1"/>
                <c:pt idx="0">
                  <c:v>Target diff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Curve!$B$2:$B$41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  <c:pt idx="11">
                  <c:v>5</c:v>
                </c:pt>
                <c:pt idx="12">
                  <c:v>3</c:v>
                </c:pt>
                <c:pt idx="13">
                  <c:v>5</c:v>
                </c:pt>
                <c:pt idx="14">
                  <c:v>3</c:v>
                </c:pt>
                <c:pt idx="15">
                  <c:v>7</c:v>
                </c:pt>
                <c:pt idx="16">
                  <c:v>4</c:v>
                </c:pt>
                <c:pt idx="17">
                  <c:v>3</c:v>
                </c:pt>
                <c:pt idx="18">
                  <c:v>5</c:v>
                </c:pt>
                <c:pt idx="19">
                  <c:v>8</c:v>
                </c:pt>
                <c:pt idx="20">
                  <c:v>5</c:v>
                </c:pt>
                <c:pt idx="21">
                  <c:v>3</c:v>
                </c:pt>
                <c:pt idx="22">
                  <c:v>6</c:v>
                </c:pt>
                <c:pt idx="23">
                  <c:v>4</c:v>
                </c:pt>
                <c:pt idx="24">
                  <c:v>8</c:v>
                </c:pt>
                <c:pt idx="25">
                  <c:v>3</c:v>
                </c:pt>
                <c:pt idx="26">
                  <c:v>5</c:v>
                </c:pt>
                <c:pt idx="27">
                  <c:v>3</c:v>
                </c:pt>
                <c:pt idx="28">
                  <c:v>6</c:v>
                </c:pt>
                <c:pt idx="29">
                  <c:v>9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8</c:v>
                </c:pt>
                <c:pt idx="35">
                  <c:v>4</c:v>
                </c:pt>
                <c:pt idx="36">
                  <c:v>6</c:v>
                </c:pt>
                <c:pt idx="37">
                  <c:v>8</c:v>
                </c:pt>
                <c:pt idx="38">
                  <c:v>5</c:v>
                </c:pt>
                <c:pt idx="39">
                  <c:v>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Curve!C1</c:f>
              <c:strCache>
                <c:ptCount val="1"/>
                <c:pt idx="0">
                  <c:v>Measured diff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Curve!$C$2:$C$41</c:f>
              <c:numCache>
                <c:formatCode>0.0</c:formatCode>
                <c:ptCount val="4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1.36666666666667</c:v>
                </c:pt>
                <c:pt idx="8">
                  <c:v>1.16666666666667</c:v>
                </c:pt>
                <c:pt idx="9">
                  <c:v>2.4</c:v>
                </c:pt>
                <c:pt idx="10">
                  <c:v>2.6</c:v>
                </c:pt>
                <c:pt idx="11">
                  <c:v>1</c:v>
                </c:pt>
                <c:pt idx="12">
                  <c:v>3.08</c:v>
                </c:pt>
                <c:pt idx="13">
                  <c:v>5.1</c:v>
                </c:pt>
                <c:pt idx="14">
                  <c:v>1</c:v>
                </c:pt>
                <c:pt idx="15">
                  <c:v>6.47058823529412</c:v>
                </c:pt>
                <c:pt idx="16">
                  <c:v>4.6</c:v>
                </c:pt>
                <c:pt idx="17">
                  <c:v>1</c:v>
                </c:pt>
                <c:pt idx="18">
                  <c:v>5.05</c:v>
                </c:pt>
                <c:pt idx="19">
                  <c:v>7.42857142857143</c:v>
                </c:pt>
                <c:pt idx="20">
                  <c:v>5.25</c:v>
                </c:pt>
                <c:pt idx="21">
                  <c:v>2.25</c:v>
                </c:pt>
                <c:pt idx="22">
                  <c:v>5.5</c:v>
                </c:pt>
                <c:pt idx="23">
                  <c:v>1</c:v>
                </c:pt>
                <c:pt idx="24">
                  <c:v>7.5</c:v>
                </c:pt>
                <c:pt idx="25">
                  <c:v>2.75</c:v>
                </c:pt>
                <c:pt idx="26">
                  <c:v>3</c:v>
                </c:pt>
                <c:pt idx="27">
                  <c:v>1.9</c:v>
                </c:pt>
                <c:pt idx="28">
                  <c:v>6.35294117647059</c:v>
                </c:pt>
                <c:pt idx="29">
                  <c:v>8.36363636363636</c:v>
                </c:pt>
                <c:pt idx="30">
                  <c:v>2.05</c:v>
                </c:pt>
                <c:pt idx="31">
                  <c:v>4.7</c:v>
                </c:pt>
                <c:pt idx="32">
                  <c:v>5.85</c:v>
                </c:pt>
                <c:pt idx="33">
                  <c:v>1.8</c:v>
                </c:pt>
                <c:pt idx="34">
                  <c:v>7.35714285714286</c:v>
                </c:pt>
                <c:pt idx="35">
                  <c:v>4.05</c:v>
                </c:pt>
                <c:pt idx="36">
                  <c:v>5.5</c:v>
                </c:pt>
                <c:pt idx="37">
                  <c:v>7.5</c:v>
                </c:pt>
                <c:pt idx="38">
                  <c:v>2.925</c:v>
                </c:pt>
                <c:pt idx="39">
                  <c:v>8.45454545454546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811290"/>
        <c:axId val="71922358"/>
      </c:lineChart>
      <c:catAx>
        <c:axId val="718112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22358"/>
        <c:crosses val="autoZero"/>
        <c:auto val="1"/>
        <c:lblAlgn val="ctr"/>
        <c:lblOffset val="100"/>
        <c:noMultiLvlLbl val="0"/>
      </c:catAx>
      <c:valAx>
        <c:axId val="71922358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Difficulty (1-10)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11290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Stickmen per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Curve!D1</c:f>
              <c:strCache>
                <c:ptCount val="1"/>
                <c:pt idx="0">
                  <c:v>Stickmen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Curve!$D$2:$D$41</c:f>
              <c:numCache>
                <c:formatCode>General</c:formatCode>
                <c:ptCount val="40"/>
                <c:pt idx="0">
                  <c:v>16</c:v>
                </c:pt>
                <c:pt idx="1">
                  <c:v>32</c:v>
                </c:pt>
                <c:pt idx="2">
                  <c:v>40</c:v>
                </c:pt>
                <c:pt idx="3">
                  <c:v>52</c:v>
                </c:pt>
                <c:pt idx="4">
                  <c:v>64</c:v>
                </c:pt>
                <c:pt idx="5">
                  <c:v>72</c:v>
                </c:pt>
                <c:pt idx="6">
                  <c:v>64</c:v>
                </c:pt>
                <c:pt idx="7">
                  <c:v>84</c:v>
                </c:pt>
                <c:pt idx="8">
                  <c:v>76</c:v>
                </c:pt>
                <c:pt idx="9">
                  <c:v>104</c:v>
                </c:pt>
                <c:pt idx="10">
                  <c:v>84</c:v>
                </c:pt>
                <c:pt idx="11">
                  <c:v>112</c:v>
                </c:pt>
                <c:pt idx="12">
                  <c:v>96</c:v>
                </c:pt>
                <c:pt idx="13">
                  <c:v>120</c:v>
                </c:pt>
                <c:pt idx="14">
                  <c:v>128</c:v>
                </c:pt>
                <c:pt idx="15">
                  <c:v>144</c:v>
                </c:pt>
                <c:pt idx="16">
                  <c:v>120</c:v>
                </c:pt>
                <c:pt idx="17">
                  <c:v>112</c:v>
                </c:pt>
                <c:pt idx="18">
                  <c:v>152</c:v>
                </c:pt>
                <c:pt idx="19">
                  <c:v>176</c:v>
                </c:pt>
                <c:pt idx="20">
                  <c:v>140</c:v>
                </c:pt>
                <c:pt idx="21">
                  <c:v>128</c:v>
                </c:pt>
                <c:pt idx="22">
                  <c:v>168</c:v>
                </c:pt>
                <c:pt idx="23">
                  <c:v>192</c:v>
                </c:pt>
                <c:pt idx="24">
                  <c:v>192</c:v>
                </c:pt>
                <c:pt idx="25">
                  <c:v>144</c:v>
                </c:pt>
                <c:pt idx="26">
                  <c:v>176</c:v>
                </c:pt>
                <c:pt idx="27">
                  <c:v>152</c:v>
                </c:pt>
                <c:pt idx="28">
                  <c:v>208</c:v>
                </c:pt>
                <c:pt idx="29">
                  <c:v>240</c:v>
                </c:pt>
                <c:pt idx="30">
                  <c:v>160</c:v>
                </c:pt>
                <c:pt idx="31">
                  <c:v>168</c:v>
                </c:pt>
                <c:pt idx="32">
                  <c:v>200</c:v>
                </c:pt>
                <c:pt idx="33">
                  <c:v>232</c:v>
                </c:pt>
                <c:pt idx="34">
                  <c:v>240</c:v>
                </c:pt>
                <c:pt idx="35">
                  <c:v>184</c:v>
                </c:pt>
                <c:pt idx="36">
                  <c:v>256</c:v>
                </c:pt>
                <c:pt idx="37">
                  <c:v>280</c:v>
                </c:pt>
                <c:pt idx="38">
                  <c:v>264</c:v>
                </c:pt>
                <c:pt idx="39">
                  <c:v>320</c:v>
                </c:pt>
              </c:numCache>
            </c:numRef>
          </c:val>
        </c:ser>
        <c:gapWidth val="40"/>
        <c:overlap val="0"/>
        <c:axId val="95140713"/>
        <c:axId val="37107277"/>
      </c:barChart>
      <c:catAx>
        <c:axId val="95140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07277"/>
        <c:crosses val="autoZero"/>
        <c:auto val="1"/>
        <c:lblAlgn val="ctr"/>
        <c:lblOffset val="100"/>
        <c:noMultiLvlLbl val="0"/>
      </c:catAx>
      <c:valAx>
        <c:axId val="371072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Stickmen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407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0</xdr:rowOff>
    </xdr:from>
    <xdr:to>
      <xdr:col>17</xdr:col>
      <xdr:colOff>253800</xdr:colOff>
      <xdr:row>18</xdr:row>
      <xdr:rowOff>1080</xdr:rowOff>
    </xdr:to>
    <xdr:graphicFrame>
      <xdr:nvGraphicFramePr>
        <xdr:cNvPr id="0" name="Chart 1"/>
        <xdr:cNvGraphicFramePr/>
      </xdr:nvGraphicFramePr>
      <xdr:xfrm>
        <a:off x="4492800" y="19044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17</xdr:col>
      <xdr:colOff>253800</xdr:colOff>
      <xdr:row>38</xdr:row>
      <xdr:rowOff>1440</xdr:rowOff>
    </xdr:to>
    <xdr:graphicFrame>
      <xdr:nvGraphicFramePr>
        <xdr:cNvPr id="1" name="Chart 2"/>
        <xdr:cNvGraphicFramePr/>
      </xdr:nvGraphicFramePr>
      <xdr:xfrm>
        <a:off x="4492800" y="400068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6" min="4" style="0" width="8"/>
    <col collapsed="false" customWidth="true" hidden="false" outlineLevel="0" max="8" min="7" style="0" width="9"/>
    <col collapsed="false" customWidth="true" hidden="false" outlineLevel="0" max="9" min="9" style="0" width="8"/>
    <col collapsed="false" customWidth="true" hidden="false" outlineLevel="0" max="10" min="10" style="0" width="22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34"/>
    <col collapsed="false" customWidth="true" hidden="false" outlineLevel="0" max="19" min="15" style="0" width="7"/>
    <col collapsed="false" customWidth="true" hidden="false" outlineLevel="0" max="21" min="20" style="0" width="30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false" outlineLevel="0" max="25" min="24" style="0" width="9"/>
    <col collapsed="false" customWidth="true" hidden="false" outlineLevel="0" max="27" min="26" style="0" width="8"/>
    <col collapsed="false" customWidth="true" hidden="false" outlineLevel="0" max="28" min="28" style="0" width="10"/>
    <col collapsed="false" customWidth="true" hidden="false" outlineLevel="0" max="29" min="29" style="0" width="40"/>
  </cols>
  <sheetData>
    <row r="1" customFormat="false" ht="4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customFormat="false" ht="15" hidden="false" customHeight="false" outlineLevel="0" collapsed="false">
      <c r="A2" s="2" t="n">
        <v>1</v>
      </c>
      <c r="B2" s="2" t="s">
        <v>29</v>
      </c>
      <c r="C2" s="2" t="s">
        <v>30</v>
      </c>
      <c r="D2" s="2" t="n">
        <v>1</v>
      </c>
      <c r="E2" s="3" t="n">
        <v>0.7</v>
      </c>
      <c r="F2" s="3" t="n">
        <v>1</v>
      </c>
      <c r="G2" s="3" t="n">
        <f aca="false">Z2/(Z2+AA2+AB2)</f>
        <v>1</v>
      </c>
      <c r="H2" s="4" t="n">
        <f aca="false">IF(G2&gt;=1,1,INDEX(Summary!$B$42:$B$51,MATCH(G2,Summary!$A$42:$A$51,1))+(G2-INDEX(Summary!$A$42:$A$51,MATCH(G2,Summary!$A$42:$A$51,1)))*(INDEX(Summary!$B$42:$B$51,MATCH(G2,Summary!$A$42:$A$51,1)+1)-INDEX(Summary!$B$42:$B$51,MATCH(G2,Summary!$A$42:$A$51,1)))/(INDEX(Summary!$A$42:$A$51,MATCH(G2,Summary!$A$42:$A$51,1)+1)-INDEX(Summary!$A$42:$A$51,MATCH(G2,Summary!$A$42:$A$51,1))))</f>
        <v>1</v>
      </c>
      <c r="I2" s="5" t="b">
        <f aca="false">AND(G2&gt;=E2,G2&lt;=F2)</f>
        <v>1</v>
      </c>
      <c r="J2" s="2" t="s">
        <v>31</v>
      </c>
      <c r="K2" s="2" t="n">
        <v>1</v>
      </c>
      <c r="L2" s="2" t="n">
        <v>2</v>
      </c>
      <c r="M2" s="2" t="n">
        <v>16</v>
      </c>
      <c r="N2" s="6" t="s">
        <v>32</v>
      </c>
      <c r="O2" s="2" t="n">
        <v>0</v>
      </c>
      <c r="P2" s="2" t="n">
        <v>0</v>
      </c>
      <c r="Q2" s="2" t="n">
        <v>2</v>
      </c>
      <c r="R2" s="2" t="n">
        <v>0</v>
      </c>
      <c r="S2" s="2" t="n">
        <f aca="false">SUM(O2:R2)</f>
        <v>2</v>
      </c>
      <c r="T2" s="2" t="s">
        <v>33</v>
      </c>
      <c r="U2" s="6" t="s">
        <v>34</v>
      </c>
      <c r="V2" s="6" t="s">
        <v>35</v>
      </c>
      <c r="W2" s="6" t="s">
        <v>36</v>
      </c>
      <c r="X2" s="2" t="n">
        <v>13.3</v>
      </c>
      <c r="Y2" s="4" t="n">
        <f aca="false">X2/2</f>
        <v>6.65</v>
      </c>
      <c r="Z2" s="2" t="n">
        <v>200</v>
      </c>
      <c r="AA2" s="2" t="n">
        <v>0</v>
      </c>
      <c r="AB2" s="2" t="n">
        <v>0</v>
      </c>
      <c r="AC2" s="2" t="s">
        <v>33</v>
      </c>
    </row>
    <row r="3" customFormat="false" ht="15" hidden="false" customHeight="false" outlineLevel="0" collapsed="false">
      <c r="A3" s="2" t="n">
        <v>2</v>
      </c>
      <c r="B3" s="2" t="s">
        <v>37</v>
      </c>
      <c r="C3" s="2" t="s">
        <v>38</v>
      </c>
      <c r="D3" s="2" t="n">
        <v>2</v>
      </c>
      <c r="E3" s="3" t="n">
        <v>0.7</v>
      </c>
      <c r="F3" s="3" t="n">
        <v>1</v>
      </c>
      <c r="G3" s="3" t="n">
        <f aca="false">Z3/(Z3+AA3+AB3)</f>
        <v>1</v>
      </c>
      <c r="H3" s="4" t="n">
        <f aca="false">IF(G3&gt;=1,1,INDEX(Summary!$B$42:$B$51,MATCH(G3,Summary!$A$42:$A$51,1))+(G3-INDEX(Summary!$A$42:$A$51,MATCH(G3,Summary!$A$42:$A$51,1)))*(INDEX(Summary!$B$42:$B$51,MATCH(G3,Summary!$A$42:$A$51,1)+1)-INDEX(Summary!$B$42:$B$51,MATCH(G3,Summary!$A$42:$A$51,1)))/(INDEX(Summary!$A$42:$A$51,MATCH(G3,Summary!$A$42:$A$51,1)+1)-INDEX(Summary!$A$42:$A$51,MATCH(G3,Summary!$A$42:$A$51,1))))</f>
        <v>1</v>
      </c>
      <c r="I3" s="5" t="b">
        <f aca="false">AND(G3&gt;=E3,G3&lt;=F3)</f>
        <v>1</v>
      </c>
      <c r="J3" s="2" t="s">
        <v>39</v>
      </c>
      <c r="K3" s="2" t="n">
        <v>2</v>
      </c>
      <c r="L3" s="2" t="n">
        <v>3</v>
      </c>
      <c r="M3" s="2" t="n">
        <v>32</v>
      </c>
      <c r="N3" s="6" t="s">
        <v>40</v>
      </c>
      <c r="O3" s="2" t="n">
        <v>0</v>
      </c>
      <c r="P3" s="2" t="n">
        <v>0</v>
      </c>
      <c r="Q3" s="2" t="n">
        <v>4</v>
      </c>
      <c r="R3" s="2" t="n">
        <v>0</v>
      </c>
      <c r="S3" s="2" t="n">
        <f aca="false">SUM(O3:R3)</f>
        <v>4</v>
      </c>
      <c r="T3" s="2" t="s">
        <v>33</v>
      </c>
      <c r="U3" s="2" t="s">
        <v>33</v>
      </c>
      <c r="V3" s="6" t="s">
        <v>41</v>
      </c>
      <c r="W3" s="6" t="s">
        <v>42</v>
      </c>
      <c r="X3" s="2" t="n">
        <v>17.7</v>
      </c>
      <c r="Y3" s="4" t="n">
        <f aca="false">X3/2</f>
        <v>8.85</v>
      </c>
      <c r="Z3" s="2" t="n">
        <v>200</v>
      </c>
      <c r="AA3" s="2" t="n">
        <v>0</v>
      </c>
      <c r="AB3" s="2" t="n">
        <v>0</v>
      </c>
      <c r="AC3" s="2" t="s">
        <v>33</v>
      </c>
    </row>
    <row r="4" customFormat="false" ht="15" hidden="false" customHeight="false" outlineLevel="0" collapsed="false">
      <c r="A4" s="2" t="n">
        <v>3</v>
      </c>
      <c r="B4" s="2" t="s">
        <v>43</v>
      </c>
      <c r="C4" s="6" t="s">
        <v>44</v>
      </c>
      <c r="D4" s="2" t="n">
        <v>2</v>
      </c>
      <c r="E4" s="3" t="n">
        <v>0.7</v>
      </c>
      <c r="F4" s="3" t="n">
        <v>1</v>
      </c>
      <c r="G4" s="3" t="n">
        <f aca="false">Z4/(Z4+AA4+AB4)</f>
        <v>1</v>
      </c>
      <c r="H4" s="4" t="n">
        <f aca="false">IF(G4&gt;=1,1,INDEX(Summary!$B$42:$B$51,MATCH(G4,Summary!$A$42:$A$51,1))+(G4-INDEX(Summary!$A$42:$A$51,MATCH(G4,Summary!$A$42:$A$51,1)))*(INDEX(Summary!$B$42:$B$51,MATCH(G4,Summary!$A$42:$A$51,1)+1)-INDEX(Summary!$B$42:$B$51,MATCH(G4,Summary!$A$42:$A$51,1)))/(INDEX(Summary!$A$42:$A$51,MATCH(G4,Summary!$A$42:$A$51,1)+1)-INDEX(Summary!$A$42:$A$51,MATCH(G4,Summary!$A$42:$A$51,1))))</f>
        <v>1</v>
      </c>
      <c r="I4" s="5" t="b">
        <f aca="false">AND(G4&gt;=E4,G4&lt;=F4)</f>
        <v>1</v>
      </c>
      <c r="J4" s="2" t="s">
        <v>45</v>
      </c>
      <c r="K4" s="2" t="n">
        <v>2</v>
      </c>
      <c r="L4" s="2" t="n">
        <v>3</v>
      </c>
      <c r="M4" s="2" t="n">
        <v>40</v>
      </c>
      <c r="N4" s="6" t="s">
        <v>46</v>
      </c>
      <c r="O4" s="2" t="n">
        <v>0</v>
      </c>
      <c r="P4" s="2" t="n">
        <v>0</v>
      </c>
      <c r="Q4" s="2" t="n">
        <v>5</v>
      </c>
      <c r="R4" s="2" t="n">
        <v>0</v>
      </c>
      <c r="S4" s="2" t="n">
        <f aca="false">SUM(O4:R4)</f>
        <v>5</v>
      </c>
      <c r="T4" s="2" t="s">
        <v>33</v>
      </c>
      <c r="U4" s="6" t="s">
        <v>47</v>
      </c>
      <c r="V4" s="6" t="s">
        <v>48</v>
      </c>
      <c r="W4" s="6" t="s">
        <v>49</v>
      </c>
      <c r="X4" s="2" t="n">
        <v>40.3</v>
      </c>
      <c r="Y4" s="4" t="n">
        <f aca="false">X4/2</f>
        <v>20.15</v>
      </c>
      <c r="Z4" s="2" t="n">
        <v>200</v>
      </c>
      <c r="AA4" s="2" t="n">
        <v>0</v>
      </c>
      <c r="AB4" s="2" t="n">
        <v>0</v>
      </c>
      <c r="AC4" s="2" t="s">
        <v>33</v>
      </c>
    </row>
    <row r="5" customFormat="false" ht="23.85" hidden="false" customHeight="false" outlineLevel="0" collapsed="false">
      <c r="A5" s="2" t="n">
        <v>4</v>
      </c>
      <c r="B5" s="2" t="s">
        <v>50</v>
      </c>
      <c r="C5" s="6" t="s">
        <v>51</v>
      </c>
      <c r="D5" s="2" t="n">
        <v>3</v>
      </c>
      <c r="E5" s="3" t="n">
        <v>0.55</v>
      </c>
      <c r="F5" s="3" t="n">
        <v>0.75</v>
      </c>
      <c r="G5" s="3" t="n">
        <f aca="false">Z5/(Z5+AA5+AB5)</f>
        <v>1</v>
      </c>
      <c r="H5" s="4" t="n">
        <f aca="false">IF(G5&gt;=1,1,INDEX(Summary!$B$42:$B$51,MATCH(G5,Summary!$A$42:$A$51,1))+(G5-INDEX(Summary!$A$42:$A$51,MATCH(G5,Summary!$A$42:$A$51,1)))*(INDEX(Summary!$B$42:$B$51,MATCH(G5,Summary!$A$42:$A$51,1)+1)-INDEX(Summary!$B$42:$B$51,MATCH(G5,Summary!$A$42:$A$51,1)))/(INDEX(Summary!$A$42:$A$51,MATCH(G5,Summary!$A$42:$A$51,1)+1)-INDEX(Summary!$A$42:$A$51,MATCH(G5,Summary!$A$42:$A$51,1))))</f>
        <v>1</v>
      </c>
      <c r="I5" s="5" t="b">
        <f aca="false">AND(G5&gt;=E5,G5&lt;=F5)</f>
        <v>0</v>
      </c>
      <c r="J5" s="2" t="s">
        <v>52</v>
      </c>
      <c r="K5" s="2" t="n">
        <v>2</v>
      </c>
      <c r="L5" s="2" t="n">
        <v>4</v>
      </c>
      <c r="M5" s="2" t="n">
        <v>52</v>
      </c>
      <c r="N5" s="6" t="s">
        <v>53</v>
      </c>
      <c r="O5" s="2" t="n">
        <v>5</v>
      </c>
      <c r="P5" s="2" t="n">
        <v>0</v>
      </c>
      <c r="Q5" s="2" t="n">
        <v>1</v>
      </c>
      <c r="R5" s="2" t="n">
        <v>2</v>
      </c>
      <c r="S5" s="2" t="n">
        <f aca="false">SUM(O5:R5)</f>
        <v>8</v>
      </c>
      <c r="T5" s="2" t="s">
        <v>33</v>
      </c>
      <c r="U5" s="2" t="s">
        <v>33</v>
      </c>
      <c r="V5" s="6" t="s">
        <v>54</v>
      </c>
      <c r="W5" s="6" t="s">
        <v>55</v>
      </c>
      <c r="X5" s="2" t="n">
        <v>37.7</v>
      </c>
      <c r="Y5" s="4" t="n">
        <f aca="false">X5/2</f>
        <v>18.85</v>
      </c>
      <c r="Z5" s="2" t="n">
        <v>200</v>
      </c>
      <c r="AA5" s="2" t="n">
        <v>0</v>
      </c>
      <c r="AB5" s="2" t="n">
        <v>0</v>
      </c>
      <c r="AC5" s="2" t="s">
        <v>33</v>
      </c>
    </row>
    <row r="6" customFormat="false" ht="23.85" hidden="false" customHeight="false" outlineLevel="0" collapsed="false">
      <c r="A6" s="2" t="n">
        <v>5</v>
      </c>
      <c r="B6" s="2" t="s">
        <v>56</v>
      </c>
      <c r="C6" s="2" t="s">
        <v>57</v>
      </c>
      <c r="D6" s="2" t="n">
        <v>2</v>
      </c>
      <c r="E6" s="3" t="n">
        <v>0.7</v>
      </c>
      <c r="F6" s="3" t="n">
        <v>1</v>
      </c>
      <c r="G6" s="3" t="n">
        <f aca="false">Z6/(Z6+AA6+AB6)</f>
        <v>1</v>
      </c>
      <c r="H6" s="4" t="n">
        <f aca="false">IF(G6&gt;=1,1,INDEX(Summary!$B$42:$B$51,MATCH(G6,Summary!$A$42:$A$51,1))+(G6-INDEX(Summary!$A$42:$A$51,MATCH(G6,Summary!$A$42:$A$51,1)))*(INDEX(Summary!$B$42:$B$51,MATCH(G6,Summary!$A$42:$A$51,1)+1)-INDEX(Summary!$B$42:$B$51,MATCH(G6,Summary!$A$42:$A$51,1)))/(INDEX(Summary!$A$42:$A$51,MATCH(G6,Summary!$A$42:$A$51,1)+1)-INDEX(Summary!$A$42:$A$51,MATCH(G6,Summary!$A$42:$A$51,1))))</f>
        <v>1</v>
      </c>
      <c r="I6" s="5" t="b">
        <f aca="false">AND(G6&gt;=E6,G6&lt;=F6)</f>
        <v>1</v>
      </c>
      <c r="J6" s="6" t="s">
        <v>58</v>
      </c>
      <c r="K6" s="2" t="n">
        <v>3</v>
      </c>
      <c r="L6" s="2" t="n">
        <v>4</v>
      </c>
      <c r="M6" s="2" t="n">
        <v>64</v>
      </c>
      <c r="N6" s="6" t="s">
        <v>59</v>
      </c>
      <c r="O6" s="2" t="n">
        <v>0</v>
      </c>
      <c r="P6" s="2" t="n">
        <v>0</v>
      </c>
      <c r="Q6" s="2" t="n">
        <v>5</v>
      </c>
      <c r="R6" s="2" t="n">
        <v>2</v>
      </c>
      <c r="S6" s="2" t="n">
        <f aca="false">SUM(O6:R6)</f>
        <v>7</v>
      </c>
      <c r="T6" s="2" t="s">
        <v>33</v>
      </c>
      <c r="U6" s="2" t="s">
        <v>33</v>
      </c>
      <c r="V6" s="6" t="s">
        <v>60</v>
      </c>
      <c r="W6" s="6" t="s">
        <v>61</v>
      </c>
      <c r="X6" s="2" t="n">
        <v>33.7</v>
      </c>
      <c r="Y6" s="4" t="n">
        <f aca="false">X6/2</f>
        <v>16.85</v>
      </c>
      <c r="Z6" s="2" t="n">
        <v>200</v>
      </c>
      <c r="AA6" s="2" t="n">
        <v>0</v>
      </c>
      <c r="AB6" s="2" t="n">
        <v>0</v>
      </c>
      <c r="AC6" s="2" t="s">
        <v>33</v>
      </c>
    </row>
    <row r="7" customFormat="false" ht="23.85" hidden="false" customHeight="false" outlineLevel="0" collapsed="false">
      <c r="A7" s="2" t="n">
        <v>6</v>
      </c>
      <c r="B7" s="2" t="s">
        <v>62</v>
      </c>
      <c r="C7" s="2" t="s">
        <v>63</v>
      </c>
      <c r="D7" s="2" t="n">
        <v>5</v>
      </c>
      <c r="E7" s="3" t="n">
        <v>0.35</v>
      </c>
      <c r="F7" s="3" t="n">
        <v>0.5</v>
      </c>
      <c r="G7" s="3" t="n">
        <f aca="false">Z7/(Z7+AA7+AB7)</f>
        <v>1</v>
      </c>
      <c r="H7" s="4" t="n">
        <f aca="false">IF(G7&gt;=1,1,INDEX(Summary!$B$42:$B$51,MATCH(G7,Summary!$A$42:$A$51,1))+(G7-INDEX(Summary!$A$42:$A$51,MATCH(G7,Summary!$A$42:$A$51,1)))*(INDEX(Summary!$B$42:$B$51,MATCH(G7,Summary!$A$42:$A$51,1)+1)-INDEX(Summary!$B$42:$B$51,MATCH(G7,Summary!$A$42:$A$51,1)))/(INDEX(Summary!$A$42:$A$51,MATCH(G7,Summary!$A$42:$A$51,1)+1)-INDEX(Summary!$A$42:$A$51,MATCH(G7,Summary!$A$42:$A$51,1))))</f>
        <v>1</v>
      </c>
      <c r="I7" s="5" t="b">
        <f aca="false">AND(G7&gt;=E7,G7&lt;=F7)</f>
        <v>0</v>
      </c>
      <c r="J7" s="6" t="s">
        <v>64</v>
      </c>
      <c r="K7" s="2" t="n">
        <v>3</v>
      </c>
      <c r="L7" s="2" t="n">
        <v>4</v>
      </c>
      <c r="M7" s="2" t="n">
        <v>72</v>
      </c>
      <c r="N7" s="6" t="s">
        <v>65</v>
      </c>
      <c r="O7" s="2" t="n">
        <v>4</v>
      </c>
      <c r="P7" s="2" t="n">
        <v>0</v>
      </c>
      <c r="Q7" s="2" t="n">
        <v>4</v>
      </c>
      <c r="R7" s="2" t="n">
        <v>2</v>
      </c>
      <c r="S7" s="2" t="n">
        <f aca="false">SUM(O7:R7)</f>
        <v>10</v>
      </c>
      <c r="T7" s="2" t="s">
        <v>33</v>
      </c>
      <c r="U7" s="2" t="s">
        <v>33</v>
      </c>
      <c r="V7" s="2" t="s">
        <v>66</v>
      </c>
      <c r="W7" s="6" t="s">
        <v>67</v>
      </c>
      <c r="X7" s="2" t="n">
        <v>62.5</v>
      </c>
      <c r="Y7" s="4" t="n">
        <f aca="false">X7/2</f>
        <v>31.25</v>
      </c>
      <c r="Z7" s="2" t="n">
        <v>200</v>
      </c>
      <c r="AA7" s="2" t="n">
        <v>0</v>
      </c>
      <c r="AB7" s="2" t="n">
        <v>0</v>
      </c>
      <c r="AC7" s="2" t="s">
        <v>33</v>
      </c>
    </row>
    <row r="8" customFormat="false" ht="23.85" hidden="false" customHeight="false" outlineLevel="0" collapsed="false">
      <c r="A8" s="2" t="n">
        <v>7</v>
      </c>
      <c r="B8" s="2" t="s">
        <v>68</v>
      </c>
      <c r="C8" s="6" t="s">
        <v>69</v>
      </c>
      <c r="D8" s="2" t="n">
        <v>3</v>
      </c>
      <c r="E8" s="3" t="n">
        <v>0.55</v>
      </c>
      <c r="F8" s="3" t="n">
        <v>0.75</v>
      </c>
      <c r="G8" s="3" t="n">
        <f aca="false">Z8/(Z8+AA8+AB8)</f>
        <v>1</v>
      </c>
      <c r="H8" s="4" t="n">
        <f aca="false">IF(G8&gt;=1,1,INDEX(Summary!$B$42:$B$51,MATCH(G8,Summary!$A$42:$A$51,1))+(G8-INDEX(Summary!$A$42:$A$51,MATCH(G8,Summary!$A$42:$A$51,1)))*(INDEX(Summary!$B$42:$B$51,MATCH(G8,Summary!$A$42:$A$51,1)+1)-INDEX(Summary!$B$42:$B$51,MATCH(G8,Summary!$A$42:$A$51,1)))/(INDEX(Summary!$A$42:$A$51,MATCH(G8,Summary!$A$42:$A$51,1)+1)-INDEX(Summary!$A$42:$A$51,MATCH(G8,Summary!$A$42:$A$51,1))))</f>
        <v>1</v>
      </c>
      <c r="I8" s="5" t="b">
        <f aca="false">AND(G8&gt;=E8,G8&lt;=F8)</f>
        <v>0</v>
      </c>
      <c r="J8" s="2" t="s">
        <v>70</v>
      </c>
      <c r="K8" s="2" t="n">
        <v>2</v>
      </c>
      <c r="L8" s="2" t="n">
        <v>4</v>
      </c>
      <c r="M8" s="2" t="n">
        <v>64</v>
      </c>
      <c r="N8" s="6" t="s">
        <v>71</v>
      </c>
      <c r="O8" s="2" t="n">
        <v>5</v>
      </c>
      <c r="P8" s="2" t="n">
        <v>0</v>
      </c>
      <c r="Q8" s="2" t="n">
        <v>4</v>
      </c>
      <c r="R8" s="2" t="n">
        <v>1</v>
      </c>
      <c r="S8" s="2" t="n">
        <f aca="false">SUM(O8:R8)</f>
        <v>10</v>
      </c>
      <c r="T8" s="6" t="s">
        <v>72</v>
      </c>
      <c r="U8" s="6" t="s">
        <v>73</v>
      </c>
      <c r="V8" s="6" t="s">
        <v>74</v>
      </c>
      <c r="W8" s="6" t="s">
        <v>75</v>
      </c>
      <c r="X8" s="2" t="n">
        <v>72.4</v>
      </c>
      <c r="Y8" s="4" t="n">
        <f aca="false">X8/2</f>
        <v>36.2</v>
      </c>
      <c r="Z8" s="2" t="n">
        <v>200</v>
      </c>
      <c r="AA8" s="2" t="n">
        <v>0</v>
      </c>
      <c r="AB8" s="2" t="n">
        <v>0</v>
      </c>
      <c r="AC8" s="2" t="s">
        <v>33</v>
      </c>
    </row>
    <row r="9" customFormat="false" ht="15" hidden="false" customHeight="false" outlineLevel="0" collapsed="false">
      <c r="A9" s="2" t="n">
        <v>8</v>
      </c>
      <c r="B9" s="2" t="s">
        <v>76</v>
      </c>
      <c r="C9" s="2" t="s">
        <v>77</v>
      </c>
      <c r="D9" s="2" t="n">
        <v>4</v>
      </c>
      <c r="E9" s="3" t="n">
        <v>0.45</v>
      </c>
      <c r="F9" s="3" t="n">
        <v>0.6</v>
      </c>
      <c r="G9" s="3" t="n">
        <f aca="false">Z9/(Z9+AA9+AB9)</f>
        <v>0.945</v>
      </c>
      <c r="H9" s="4" t="n">
        <f aca="false">IF(G9&gt;=1,1,INDEX(Summary!$B$42:$B$51,MATCH(G9,Summary!$A$42:$A$51,1))+(G9-INDEX(Summary!$A$42:$A$51,MATCH(G9,Summary!$A$42:$A$51,1)))*(INDEX(Summary!$B$42:$B$51,MATCH(G9,Summary!$A$42:$A$51,1)+1)-INDEX(Summary!$B$42:$B$51,MATCH(G9,Summary!$A$42:$A$51,1)))/(INDEX(Summary!$A$42:$A$51,MATCH(G9,Summary!$A$42:$A$51,1)+1)-INDEX(Summary!$A$42:$A$51,MATCH(G9,Summary!$A$42:$A$51,1))))</f>
        <v>1.36666666666667</v>
      </c>
      <c r="I9" s="5" t="b">
        <f aca="false">AND(G9&gt;=E9,G9&lt;=F9)</f>
        <v>0</v>
      </c>
      <c r="J9" s="6" t="s">
        <v>78</v>
      </c>
      <c r="K9" s="2" t="n">
        <v>3</v>
      </c>
      <c r="L9" s="2" t="n">
        <v>5</v>
      </c>
      <c r="M9" s="2" t="n">
        <v>84</v>
      </c>
      <c r="N9" s="6" t="s">
        <v>79</v>
      </c>
      <c r="O9" s="2" t="n">
        <v>5</v>
      </c>
      <c r="P9" s="2" t="n">
        <v>0</v>
      </c>
      <c r="Q9" s="2" t="n">
        <v>5</v>
      </c>
      <c r="R9" s="2" t="n">
        <v>2</v>
      </c>
      <c r="S9" s="2" t="n">
        <f aca="false">SUM(O9:R9)</f>
        <v>12</v>
      </c>
      <c r="T9" s="6" t="s">
        <v>80</v>
      </c>
      <c r="U9" s="2" t="s">
        <v>33</v>
      </c>
      <c r="V9" s="6" t="s">
        <v>81</v>
      </c>
      <c r="W9" s="6" t="s">
        <v>82</v>
      </c>
      <c r="X9" s="2" t="n">
        <v>81.5</v>
      </c>
      <c r="Y9" s="4" t="n">
        <f aca="false">X9/2</f>
        <v>40.75</v>
      </c>
      <c r="Z9" s="2" t="n">
        <v>189</v>
      </c>
      <c r="AA9" s="2" t="n">
        <v>11</v>
      </c>
      <c r="AB9" s="2" t="n">
        <v>0</v>
      </c>
      <c r="AC9" s="2" t="s">
        <v>33</v>
      </c>
    </row>
    <row r="10" customFormat="false" ht="15" hidden="false" customHeight="false" outlineLevel="0" collapsed="false">
      <c r="A10" s="2" t="n">
        <v>9</v>
      </c>
      <c r="B10" s="2" t="s">
        <v>83</v>
      </c>
      <c r="C10" s="2" t="s">
        <v>84</v>
      </c>
      <c r="D10" s="2" t="n">
        <v>3</v>
      </c>
      <c r="E10" s="3" t="n">
        <v>0.55</v>
      </c>
      <c r="F10" s="3" t="n">
        <v>0.75</v>
      </c>
      <c r="G10" s="3" t="n">
        <f aca="false">Z10/(Z10+AA10+AB10)</f>
        <v>0.975</v>
      </c>
      <c r="H10" s="4" t="n">
        <f aca="false">IF(G10&gt;=1,1,INDEX(Summary!$B$42:$B$51,MATCH(G10,Summary!$A$42:$A$51,1))+(G10-INDEX(Summary!$A$42:$A$51,MATCH(G10,Summary!$A$42:$A$51,1)))*(INDEX(Summary!$B$42:$B$51,MATCH(G10,Summary!$A$42:$A$51,1)+1)-INDEX(Summary!$B$42:$B$51,MATCH(G10,Summary!$A$42:$A$51,1)))/(INDEX(Summary!$A$42:$A$51,MATCH(G10,Summary!$A$42:$A$51,1)+1)-INDEX(Summary!$A$42:$A$51,MATCH(G10,Summary!$A$42:$A$51,1))))</f>
        <v>1.16666666666667</v>
      </c>
      <c r="I10" s="5" t="b">
        <f aca="false">AND(G10&gt;=E10,G10&lt;=F10)</f>
        <v>0</v>
      </c>
      <c r="J10" s="2" t="s">
        <v>85</v>
      </c>
      <c r="K10" s="2" t="n">
        <v>2</v>
      </c>
      <c r="L10" s="2" t="n">
        <v>4</v>
      </c>
      <c r="M10" s="2" t="n">
        <v>76</v>
      </c>
      <c r="N10" s="6" t="s">
        <v>86</v>
      </c>
      <c r="O10" s="2" t="n">
        <v>0</v>
      </c>
      <c r="P10" s="2" t="n">
        <v>4</v>
      </c>
      <c r="Q10" s="2" t="n">
        <v>5</v>
      </c>
      <c r="R10" s="2" t="n">
        <v>1</v>
      </c>
      <c r="S10" s="2" t="n">
        <f aca="false">SUM(O10:R10)</f>
        <v>10</v>
      </c>
      <c r="T10" s="2" t="s">
        <v>33</v>
      </c>
      <c r="U10" s="2" t="s">
        <v>33</v>
      </c>
      <c r="V10" s="6" t="s">
        <v>87</v>
      </c>
      <c r="W10" s="6" t="s">
        <v>88</v>
      </c>
      <c r="X10" s="2" t="n">
        <v>68.9</v>
      </c>
      <c r="Y10" s="4" t="n">
        <f aca="false">X10/2</f>
        <v>34.45</v>
      </c>
      <c r="Z10" s="2" t="n">
        <v>195</v>
      </c>
      <c r="AA10" s="2" t="n">
        <v>5</v>
      </c>
      <c r="AB10" s="2" t="n">
        <v>0</v>
      </c>
      <c r="AC10" s="2" t="s">
        <v>33</v>
      </c>
    </row>
    <row r="11" customFormat="false" ht="15" hidden="false" customHeight="false" outlineLevel="0" collapsed="false">
      <c r="A11" s="2" t="n">
        <v>10</v>
      </c>
      <c r="B11" s="2" t="s">
        <v>89</v>
      </c>
      <c r="C11" s="2" t="s">
        <v>90</v>
      </c>
      <c r="D11" s="2" t="n">
        <v>6</v>
      </c>
      <c r="E11" s="3" t="n">
        <v>0.25</v>
      </c>
      <c r="F11" s="3" t="n">
        <v>0.4</v>
      </c>
      <c r="G11" s="3" t="n">
        <f aca="false">Z11/(Z11+AA11+AB11)</f>
        <v>0.77</v>
      </c>
      <c r="H11" s="4" t="n">
        <f aca="false">IF(G11&gt;=1,1,INDEX(Summary!$B$42:$B$51,MATCH(G11,Summary!$A$42:$A$51,1))+(G11-INDEX(Summary!$A$42:$A$51,MATCH(G11,Summary!$A$42:$A$51,1)))*(INDEX(Summary!$B$42:$B$51,MATCH(G11,Summary!$A$42:$A$51,1)+1)-INDEX(Summary!$B$42:$B$51,MATCH(G11,Summary!$A$42:$A$51,1)))/(INDEX(Summary!$A$42:$A$51,MATCH(G11,Summary!$A$42:$A$51,1)+1)-INDEX(Summary!$A$42:$A$51,MATCH(G11,Summary!$A$42:$A$51,1))))</f>
        <v>2.4</v>
      </c>
      <c r="I11" s="5" t="b">
        <f aca="false">AND(G11&gt;=E11,G11&lt;=F11)</f>
        <v>0</v>
      </c>
      <c r="J11" s="6" t="s">
        <v>91</v>
      </c>
      <c r="K11" s="2" t="n">
        <v>3</v>
      </c>
      <c r="L11" s="2" t="n">
        <v>5</v>
      </c>
      <c r="M11" s="2" t="n">
        <v>104</v>
      </c>
      <c r="N11" s="6" t="s">
        <v>92</v>
      </c>
      <c r="O11" s="2" t="n">
        <v>3</v>
      </c>
      <c r="P11" s="2" t="n">
        <v>6</v>
      </c>
      <c r="Q11" s="2" t="n">
        <v>1</v>
      </c>
      <c r="R11" s="2" t="n">
        <v>4</v>
      </c>
      <c r="S11" s="2" t="n">
        <f aca="false">SUM(O11:R11)</f>
        <v>14</v>
      </c>
      <c r="T11" s="6" t="s">
        <v>93</v>
      </c>
      <c r="U11" s="2" t="s">
        <v>33</v>
      </c>
      <c r="V11" s="2" t="s">
        <v>94</v>
      </c>
      <c r="W11" s="6" t="s">
        <v>95</v>
      </c>
      <c r="X11" s="2" t="n">
        <v>70.9</v>
      </c>
      <c r="Y11" s="4" t="n">
        <f aca="false">X11/2</f>
        <v>35.45</v>
      </c>
      <c r="Z11" s="2" t="n">
        <v>154</v>
      </c>
      <c r="AA11" s="2" t="n">
        <v>46</v>
      </c>
      <c r="AB11" s="2" t="n">
        <v>0</v>
      </c>
      <c r="AC11" s="2" t="s">
        <v>33</v>
      </c>
    </row>
    <row r="12" customFormat="false" ht="23.85" hidden="false" customHeight="false" outlineLevel="0" collapsed="false">
      <c r="A12" s="2" t="n">
        <v>11</v>
      </c>
      <c r="B12" s="2" t="s">
        <v>96</v>
      </c>
      <c r="C12" s="2" t="s">
        <v>84</v>
      </c>
      <c r="D12" s="2" t="n">
        <v>3</v>
      </c>
      <c r="E12" s="3" t="n">
        <v>0.55</v>
      </c>
      <c r="F12" s="3" t="n">
        <v>0.75</v>
      </c>
      <c r="G12" s="3" t="n">
        <f aca="false">Z12/(Z12+AA12+AB12)</f>
        <v>0.73</v>
      </c>
      <c r="H12" s="4" t="n">
        <f aca="false">IF(G12&gt;=1,1,INDEX(Summary!$B$42:$B$51,MATCH(G12,Summary!$A$42:$A$51,1))+(G12-INDEX(Summary!$A$42:$A$51,MATCH(G12,Summary!$A$42:$A$51,1)))*(INDEX(Summary!$B$42:$B$51,MATCH(G12,Summary!$A$42:$A$51,1)+1)-INDEX(Summary!$B$42:$B$51,MATCH(G12,Summary!$A$42:$A$51,1)))/(INDEX(Summary!$A$42:$A$51,MATCH(G12,Summary!$A$42:$A$51,1)+1)-INDEX(Summary!$A$42:$A$51,MATCH(G12,Summary!$A$42:$A$51,1))))</f>
        <v>2.6</v>
      </c>
      <c r="I12" s="5" t="b">
        <f aca="false">AND(G12&gt;=E12,G12&lt;=F12)</f>
        <v>1</v>
      </c>
      <c r="J12" s="2" t="s">
        <v>97</v>
      </c>
      <c r="K12" s="2" t="n">
        <v>2</v>
      </c>
      <c r="L12" s="2" t="n">
        <v>4</v>
      </c>
      <c r="M12" s="2" t="n">
        <v>84</v>
      </c>
      <c r="N12" s="6" t="s">
        <v>98</v>
      </c>
      <c r="O12" s="2" t="n">
        <v>0</v>
      </c>
      <c r="P12" s="2" t="n">
        <v>4</v>
      </c>
      <c r="Q12" s="2" t="n">
        <v>6</v>
      </c>
      <c r="R12" s="2" t="n">
        <v>1</v>
      </c>
      <c r="S12" s="2" t="n">
        <f aca="false">SUM(O12:R12)</f>
        <v>11</v>
      </c>
      <c r="T12" s="2" t="s">
        <v>33</v>
      </c>
      <c r="U12" s="2" t="s">
        <v>33</v>
      </c>
      <c r="V12" s="2" t="s">
        <v>99</v>
      </c>
      <c r="W12" s="6" t="s">
        <v>100</v>
      </c>
      <c r="X12" s="2" t="n">
        <v>76.7</v>
      </c>
      <c r="Y12" s="4" t="n">
        <f aca="false">X12/2</f>
        <v>38.35</v>
      </c>
      <c r="Z12" s="2" t="n">
        <v>146</v>
      </c>
      <c r="AA12" s="2" t="n">
        <v>54</v>
      </c>
      <c r="AB12" s="2" t="n">
        <v>0</v>
      </c>
      <c r="AC12" s="2" t="s">
        <v>33</v>
      </c>
    </row>
    <row r="13" customFormat="false" ht="15" hidden="false" customHeight="false" outlineLevel="0" collapsed="false">
      <c r="A13" s="2" t="n">
        <v>12</v>
      </c>
      <c r="B13" s="2" t="s">
        <v>101</v>
      </c>
      <c r="C13" s="2" t="s">
        <v>63</v>
      </c>
      <c r="D13" s="2" t="n">
        <v>5</v>
      </c>
      <c r="E13" s="3" t="n">
        <v>0.35</v>
      </c>
      <c r="F13" s="3" t="n">
        <v>0.5</v>
      </c>
      <c r="G13" s="3" t="n">
        <f aca="false">Z13/(Z13+AA13+AB13)</f>
        <v>1</v>
      </c>
      <c r="H13" s="4" t="n">
        <f aca="false">IF(G13&gt;=1,1,INDEX(Summary!$B$42:$B$51,MATCH(G13,Summary!$A$42:$A$51,1))+(G13-INDEX(Summary!$A$42:$A$51,MATCH(G13,Summary!$A$42:$A$51,1)))*(INDEX(Summary!$B$42:$B$51,MATCH(G13,Summary!$A$42:$A$51,1)+1)-INDEX(Summary!$B$42:$B$51,MATCH(G13,Summary!$A$42:$A$51,1)))/(INDEX(Summary!$A$42:$A$51,MATCH(G13,Summary!$A$42:$A$51,1)+1)-INDEX(Summary!$A$42:$A$51,MATCH(G13,Summary!$A$42:$A$51,1))))</f>
        <v>1</v>
      </c>
      <c r="I13" s="5" t="b">
        <f aca="false">AND(G13&gt;=E13,G13&lt;=F13)</f>
        <v>0</v>
      </c>
      <c r="J13" s="6" t="s">
        <v>102</v>
      </c>
      <c r="K13" s="2" t="n">
        <v>4</v>
      </c>
      <c r="L13" s="2" t="n">
        <v>5</v>
      </c>
      <c r="M13" s="2" t="n">
        <v>112</v>
      </c>
      <c r="N13" s="6" t="s">
        <v>103</v>
      </c>
      <c r="O13" s="2" t="n">
        <v>10</v>
      </c>
      <c r="P13" s="2" t="n">
        <v>6</v>
      </c>
      <c r="Q13" s="2" t="n">
        <v>3</v>
      </c>
      <c r="R13" s="2" t="n">
        <v>1</v>
      </c>
      <c r="S13" s="2" t="n">
        <f aca="false">SUM(O13:R13)</f>
        <v>20</v>
      </c>
      <c r="T13" s="6" t="s">
        <v>80</v>
      </c>
      <c r="U13" s="2" t="s">
        <v>33</v>
      </c>
      <c r="V13" s="6" t="s">
        <v>104</v>
      </c>
      <c r="W13" s="6" t="s">
        <v>105</v>
      </c>
      <c r="X13" s="2" t="n">
        <v>75.6</v>
      </c>
      <c r="Y13" s="4" t="n">
        <f aca="false">X13/2</f>
        <v>37.8</v>
      </c>
      <c r="Z13" s="2" t="n">
        <v>200</v>
      </c>
      <c r="AA13" s="2" t="n">
        <v>0</v>
      </c>
      <c r="AB13" s="2" t="n">
        <v>0</v>
      </c>
      <c r="AC13" s="2" t="s">
        <v>33</v>
      </c>
    </row>
    <row r="14" customFormat="false" ht="15" hidden="false" customHeight="false" outlineLevel="0" collapsed="false">
      <c r="A14" s="2" t="n">
        <v>13</v>
      </c>
      <c r="B14" s="2" t="s">
        <v>106</v>
      </c>
      <c r="C14" s="6" t="s">
        <v>69</v>
      </c>
      <c r="D14" s="2" t="n">
        <v>3</v>
      </c>
      <c r="E14" s="3" t="n">
        <v>0.55</v>
      </c>
      <c r="F14" s="3" t="n">
        <v>0.75</v>
      </c>
      <c r="G14" s="3" t="n">
        <f aca="false">Z14/(Z14+AA14+AB14)</f>
        <v>0.64</v>
      </c>
      <c r="H14" s="4" t="n">
        <f aca="false">IF(G14&gt;=1,1,INDEX(Summary!$B$42:$B$51,MATCH(G14,Summary!$A$42:$A$51,1))+(G14-INDEX(Summary!$A$42:$A$51,MATCH(G14,Summary!$A$42:$A$51,1)))*(INDEX(Summary!$B$42:$B$51,MATCH(G14,Summary!$A$42:$A$51,1)+1)-INDEX(Summary!$B$42:$B$51,MATCH(G14,Summary!$A$42:$A$51,1)))/(INDEX(Summary!$A$42:$A$51,MATCH(G14,Summary!$A$42:$A$51,1)+1)-INDEX(Summary!$A$42:$A$51,MATCH(G14,Summary!$A$42:$A$51,1))))</f>
        <v>3.08</v>
      </c>
      <c r="I14" s="5" t="b">
        <f aca="false">AND(G14&gt;=E14,G14&lt;=F14)</f>
        <v>1</v>
      </c>
      <c r="J14" s="6" t="s">
        <v>107</v>
      </c>
      <c r="K14" s="2" t="n">
        <v>3</v>
      </c>
      <c r="L14" s="2" t="n">
        <v>5</v>
      </c>
      <c r="M14" s="2" t="n">
        <v>96</v>
      </c>
      <c r="N14" s="6" t="s">
        <v>108</v>
      </c>
      <c r="O14" s="2" t="n">
        <v>6</v>
      </c>
      <c r="P14" s="2" t="n">
        <v>2</v>
      </c>
      <c r="Q14" s="2" t="n">
        <v>3</v>
      </c>
      <c r="R14" s="2" t="n">
        <v>3</v>
      </c>
      <c r="S14" s="2" t="n">
        <f aca="false">SUM(O14:R14)</f>
        <v>14</v>
      </c>
      <c r="T14" s="6" t="s">
        <v>109</v>
      </c>
      <c r="U14" s="6" t="s">
        <v>110</v>
      </c>
      <c r="V14" s="2" t="s">
        <v>111</v>
      </c>
      <c r="W14" s="6" t="s">
        <v>112</v>
      </c>
      <c r="X14" s="2" t="n">
        <v>135.9</v>
      </c>
      <c r="Y14" s="4" t="n">
        <f aca="false">X14/2</f>
        <v>67.95</v>
      </c>
      <c r="Z14" s="2" t="n">
        <v>128</v>
      </c>
      <c r="AA14" s="2" t="n">
        <v>20</v>
      </c>
      <c r="AB14" s="2" t="n">
        <v>52</v>
      </c>
      <c r="AC14" s="2" t="s">
        <v>33</v>
      </c>
    </row>
    <row r="15" customFormat="false" ht="15" hidden="false" customHeight="false" outlineLevel="0" collapsed="false">
      <c r="A15" s="2" t="n">
        <v>14</v>
      </c>
      <c r="B15" s="2" t="s">
        <v>113</v>
      </c>
      <c r="C15" s="2" t="s">
        <v>77</v>
      </c>
      <c r="D15" s="2" t="n">
        <v>5</v>
      </c>
      <c r="E15" s="3" t="n">
        <v>0.35</v>
      </c>
      <c r="F15" s="3" t="n">
        <v>0.5</v>
      </c>
      <c r="G15" s="3" t="n">
        <f aca="false">Z15/(Z15+AA15+AB15)</f>
        <v>0.415</v>
      </c>
      <c r="H15" s="4" t="n">
        <f aca="false">IF(G15&gt;=1,1,INDEX(Summary!$B$42:$B$51,MATCH(G15,Summary!$A$42:$A$51,1))+(G15-INDEX(Summary!$A$42:$A$51,MATCH(G15,Summary!$A$42:$A$51,1)))*(INDEX(Summary!$B$42:$B$51,MATCH(G15,Summary!$A$42:$A$51,1)+1)-INDEX(Summary!$B$42:$B$51,MATCH(G15,Summary!$A$42:$A$51,1)))/(INDEX(Summary!$A$42:$A$51,MATCH(G15,Summary!$A$42:$A$51,1)+1)-INDEX(Summary!$A$42:$A$51,MATCH(G15,Summary!$A$42:$A$51,1))))</f>
        <v>5.1</v>
      </c>
      <c r="I15" s="5" t="b">
        <f aca="false">AND(G15&gt;=E15,G15&lt;=F15)</f>
        <v>1</v>
      </c>
      <c r="J15" s="6" t="s">
        <v>114</v>
      </c>
      <c r="K15" s="2" t="n">
        <v>3</v>
      </c>
      <c r="L15" s="2" t="n">
        <v>5</v>
      </c>
      <c r="M15" s="2" t="n">
        <v>120</v>
      </c>
      <c r="N15" s="6" t="s">
        <v>115</v>
      </c>
      <c r="O15" s="2" t="n">
        <v>3</v>
      </c>
      <c r="P15" s="2" t="n">
        <v>4</v>
      </c>
      <c r="Q15" s="2" t="n">
        <v>3</v>
      </c>
      <c r="R15" s="2" t="n">
        <v>5</v>
      </c>
      <c r="S15" s="2" t="n">
        <f aca="false">SUM(O15:R15)</f>
        <v>15</v>
      </c>
      <c r="T15" s="6" t="s">
        <v>109</v>
      </c>
      <c r="U15" s="2" t="s">
        <v>33</v>
      </c>
      <c r="V15" s="6" t="s">
        <v>116</v>
      </c>
      <c r="W15" s="6" t="s">
        <v>117</v>
      </c>
      <c r="X15" s="2" t="n">
        <v>142.5</v>
      </c>
      <c r="Y15" s="4" t="n">
        <f aca="false">X15/2</f>
        <v>71.25</v>
      </c>
      <c r="Z15" s="2" t="n">
        <v>83</v>
      </c>
      <c r="AA15" s="2" t="n">
        <v>0</v>
      </c>
      <c r="AB15" s="2" t="n">
        <v>117</v>
      </c>
      <c r="AC15" s="2" t="s">
        <v>33</v>
      </c>
    </row>
    <row r="16" customFormat="false" ht="15" hidden="false" customHeight="false" outlineLevel="0" collapsed="false">
      <c r="A16" s="2" t="n">
        <v>15</v>
      </c>
      <c r="B16" s="2" t="s">
        <v>118</v>
      </c>
      <c r="C16" s="2" t="s">
        <v>57</v>
      </c>
      <c r="D16" s="2" t="n">
        <v>3</v>
      </c>
      <c r="E16" s="3" t="n">
        <v>0.55</v>
      </c>
      <c r="F16" s="3" t="n">
        <v>0.75</v>
      </c>
      <c r="G16" s="3" t="n">
        <f aca="false">Z16/(Z16+AA16+AB16)</f>
        <v>1</v>
      </c>
      <c r="H16" s="4" t="n">
        <f aca="false">IF(G16&gt;=1,1,INDEX(Summary!$B$42:$B$51,MATCH(G16,Summary!$A$42:$A$51,1))+(G16-INDEX(Summary!$A$42:$A$51,MATCH(G16,Summary!$A$42:$A$51,1)))*(INDEX(Summary!$B$42:$B$51,MATCH(G16,Summary!$A$42:$A$51,1)+1)-INDEX(Summary!$B$42:$B$51,MATCH(G16,Summary!$A$42:$A$51,1)))/(INDEX(Summary!$A$42:$A$51,MATCH(G16,Summary!$A$42:$A$51,1)+1)-INDEX(Summary!$A$42:$A$51,MATCH(G16,Summary!$A$42:$A$51,1))))</f>
        <v>1</v>
      </c>
      <c r="I16" s="5" t="b">
        <f aca="false">AND(G16&gt;=E16,G16&lt;=F16)</f>
        <v>0</v>
      </c>
      <c r="J16" s="2" t="s">
        <v>119</v>
      </c>
      <c r="K16" s="2" t="n">
        <v>2</v>
      </c>
      <c r="L16" s="2" t="n">
        <v>5</v>
      </c>
      <c r="M16" s="2" t="n">
        <v>128</v>
      </c>
      <c r="N16" s="6" t="s">
        <v>120</v>
      </c>
      <c r="O16" s="2" t="n">
        <v>0</v>
      </c>
      <c r="P16" s="2" t="n">
        <v>0</v>
      </c>
      <c r="Q16" s="2" t="n">
        <v>13</v>
      </c>
      <c r="R16" s="2" t="n">
        <v>2</v>
      </c>
      <c r="S16" s="2" t="n">
        <f aca="false">SUM(O16:R16)</f>
        <v>15</v>
      </c>
      <c r="T16" s="2" t="s">
        <v>33</v>
      </c>
      <c r="U16" s="2" t="s">
        <v>33</v>
      </c>
      <c r="V16" s="6" t="s">
        <v>121</v>
      </c>
      <c r="W16" s="6" t="s">
        <v>122</v>
      </c>
      <c r="X16" s="2" t="n">
        <v>53</v>
      </c>
      <c r="Y16" s="4" t="n">
        <f aca="false">X16/2</f>
        <v>26.5</v>
      </c>
      <c r="Z16" s="2" t="n">
        <v>200</v>
      </c>
      <c r="AA16" s="2" t="n">
        <v>0</v>
      </c>
      <c r="AB16" s="2" t="n">
        <v>0</v>
      </c>
      <c r="AC16" s="2" t="s">
        <v>33</v>
      </c>
    </row>
    <row r="17" customFormat="false" ht="23.85" hidden="false" customHeight="false" outlineLevel="0" collapsed="false">
      <c r="A17" s="2" t="n">
        <v>16</v>
      </c>
      <c r="B17" s="2" t="s">
        <v>123</v>
      </c>
      <c r="C17" s="2" t="s">
        <v>63</v>
      </c>
      <c r="D17" s="2" t="n">
        <v>7</v>
      </c>
      <c r="E17" s="3" t="n">
        <v>0.18</v>
      </c>
      <c r="F17" s="3" t="n">
        <v>0.3</v>
      </c>
      <c r="G17" s="3" t="n">
        <f aca="false">Z17/(Z17+AA17+AB17)</f>
        <v>0.285</v>
      </c>
      <c r="H17" s="4" t="n">
        <f aca="false">IF(G17&gt;=1,1,INDEX(Summary!$B$42:$B$51,MATCH(G17,Summary!$A$42:$A$51,1))+(G17-INDEX(Summary!$A$42:$A$51,MATCH(G17,Summary!$A$42:$A$51,1)))*(INDEX(Summary!$B$42:$B$51,MATCH(G17,Summary!$A$42:$A$51,1)+1)-INDEX(Summary!$B$42:$B$51,MATCH(G17,Summary!$A$42:$A$51,1)))/(INDEX(Summary!$A$42:$A$51,MATCH(G17,Summary!$A$42:$A$51,1)+1)-INDEX(Summary!$A$42:$A$51,MATCH(G17,Summary!$A$42:$A$51,1))))</f>
        <v>6.47058823529412</v>
      </c>
      <c r="I17" s="5" t="b">
        <f aca="false">AND(G17&gt;=E17,G17&lt;=F17)</f>
        <v>1</v>
      </c>
      <c r="J17" s="6" t="s">
        <v>124</v>
      </c>
      <c r="K17" s="2" t="n">
        <v>4</v>
      </c>
      <c r="L17" s="2" t="n">
        <v>6</v>
      </c>
      <c r="M17" s="2" t="n">
        <v>144</v>
      </c>
      <c r="N17" s="6" t="s">
        <v>125</v>
      </c>
      <c r="O17" s="2" t="n">
        <v>11</v>
      </c>
      <c r="P17" s="2" t="n">
        <v>4</v>
      </c>
      <c r="Q17" s="2" t="n">
        <v>2</v>
      </c>
      <c r="R17" s="2" t="n">
        <v>5</v>
      </c>
      <c r="S17" s="2" t="n">
        <f aca="false">SUM(O17:R17)</f>
        <v>22</v>
      </c>
      <c r="T17" s="6" t="s">
        <v>126</v>
      </c>
      <c r="U17" s="2" t="s">
        <v>33</v>
      </c>
      <c r="V17" s="6" t="s">
        <v>127</v>
      </c>
      <c r="W17" s="6" t="s">
        <v>112</v>
      </c>
      <c r="X17" s="2" t="n">
        <v>145</v>
      </c>
      <c r="Y17" s="4" t="n">
        <f aca="false">X17/2</f>
        <v>72.5</v>
      </c>
      <c r="Z17" s="2" t="n">
        <v>57</v>
      </c>
      <c r="AA17" s="2" t="n">
        <v>9</v>
      </c>
      <c r="AB17" s="2" t="n">
        <v>134</v>
      </c>
      <c r="AC17" s="2" t="s">
        <v>33</v>
      </c>
    </row>
    <row r="18" customFormat="false" ht="23.85" hidden="false" customHeight="false" outlineLevel="0" collapsed="false">
      <c r="A18" s="2" t="n">
        <v>17</v>
      </c>
      <c r="B18" s="2" t="s">
        <v>128</v>
      </c>
      <c r="C18" s="6" t="s">
        <v>129</v>
      </c>
      <c r="D18" s="2" t="n">
        <v>4</v>
      </c>
      <c r="E18" s="3" t="n">
        <v>0.45</v>
      </c>
      <c r="F18" s="3" t="n">
        <v>0.6</v>
      </c>
      <c r="G18" s="3" t="n">
        <f aca="false">Z18/(Z18+AA18+AB18)</f>
        <v>0.465</v>
      </c>
      <c r="H18" s="4" t="n">
        <f aca="false">IF(G18&gt;=1,1,INDEX(Summary!$B$42:$B$51,MATCH(G18,Summary!$A$42:$A$51,1))+(G18-INDEX(Summary!$A$42:$A$51,MATCH(G18,Summary!$A$42:$A$51,1)))*(INDEX(Summary!$B$42:$B$51,MATCH(G18,Summary!$A$42:$A$51,1)+1)-INDEX(Summary!$B$42:$B$51,MATCH(G18,Summary!$A$42:$A$51,1)))/(INDEX(Summary!$A$42:$A$51,MATCH(G18,Summary!$A$42:$A$51,1)+1)-INDEX(Summary!$A$42:$A$51,MATCH(G18,Summary!$A$42:$A$51,1))))</f>
        <v>4.6</v>
      </c>
      <c r="I18" s="5" t="b">
        <f aca="false">AND(G18&gt;=E18,G18&lt;=F18)</f>
        <v>1</v>
      </c>
      <c r="J18" s="6" t="s">
        <v>114</v>
      </c>
      <c r="K18" s="2" t="n">
        <v>3</v>
      </c>
      <c r="L18" s="2" t="n">
        <v>5</v>
      </c>
      <c r="M18" s="2" t="n">
        <v>120</v>
      </c>
      <c r="N18" s="6" t="s">
        <v>130</v>
      </c>
      <c r="O18" s="2" t="n">
        <v>4</v>
      </c>
      <c r="P18" s="2" t="n">
        <v>4</v>
      </c>
      <c r="Q18" s="2" t="n">
        <v>1</v>
      </c>
      <c r="R18" s="2" t="n">
        <v>6</v>
      </c>
      <c r="S18" s="2" t="n">
        <f aca="false">SUM(O18:R18)</f>
        <v>15</v>
      </c>
      <c r="T18" s="6" t="s">
        <v>131</v>
      </c>
      <c r="U18" s="6" t="s">
        <v>132</v>
      </c>
      <c r="V18" s="2" t="s">
        <v>133</v>
      </c>
      <c r="W18" s="6" t="s">
        <v>134</v>
      </c>
      <c r="X18" s="2" t="n">
        <v>130.7</v>
      </c>
      <c r="Y18" s="4" t="n">
        <f aca="false">X18/2</f>
        <v>65.35</v>
      </c>
      <c r="Z18" s="2" t="n">
        <v>93</v>
      </c>
      <c r="AA18" s="2" t="n">
        <v>7</v>
      </c>
      <c r="AB18" s="2" t="n">
        <v>100</v>
      </c>
      <c r="AC18" s="2" t="s">
        <v>33</v>
      </c>
    </row>
    <row r="19" customFormat="false" ht="15" hidden="false" customHeight="false" outlineLevel="0" collapsed="false">
      <c r="A19" s="2" t="n">
        <v>18</v>
      </c>
      <c r="B19" s="2" t="s">
        <v>135</v>
      </c>
      <c r="C19" s="2" t="s">
        <v>84</v>
      </c>
      <c r="D19" s="2" t="n">
        <v>3</v>
      </c>
      <c r="E19" s="3" t="n">
        <v>0.55</v>
      </c>
      <c r="F19" s="3" t="n">
        <v>0.75</v>
      </c>
      <c r="G19" s="3" t="n">
        <f aca="false">Z19/(Z19+AA19+AB19)</f>
        <v>1</v>
      </c>
      <c r="H19" s="4" t="n">
        <f aca="false">IF(G19&gt;=1,1,INDEX(Summary!$B$42:$B$51,MATCH(G19,Summary!$A$42:$A$51,1))+(G19-INDEX(Summary!$A$42:$A$51,MATCH(G19,Summary!$A$42:$A$51,1)))*(INDEX(Summary!$B$42:$B$51,MATCH(G19,Summary!$A$42:$A$51,1)+1)-INDEX(Summary!$B$42:$B$51,MATCH(G19,Summary!$A$42:$A$51,1)))/(INDEX(Summary!$A$42:$A$51,MATCH(G19,Summary!$A$42:$A$51,1)+1)-INDEX(Summary!$A$42:$A$51,MATCH(G19,Summary!$A$42:$A$51,1))))</f>
        <v>1</v>
      </c>
      <c r="I19" s="5" t="b">
        <f aca="false">AND(G19&gt;=E19,G19&lt;=F19)</f>
        <v>0</v>
      </c>
      <c r="J19" s="6" t="s">
        <v>136</v>
      </c>
      <c r="K19" s="2" t="n">
        <v>3</v>
      </c>
      <c r="L19" s="2" t="n">
        <v>5</v>
      </c>
      <c r="M19" s="2" t="n">
        <v>112</v>
      </c>
      <c r="N19" s="6" t="s">
        <v>137</v>
      </c>
      <c r="O19" s="2" t="n">
        <v>0</v>
      </c>
      <c r="P19" s="2" t="n">
        <v>6</v>
      </c>
      <c r="Q19" s="2" t="n">
        <v>5</v>
      </c>
      <c r="R19" s="2" t="n">
        <v>3</v>
      </c>
      <c r="S19" s="2" t="n">
        <f aca="false">SUM(O19:R19)</f>
        <v>14</v>
      </c>
      <c r="T19" s="2" t="s">
        <v>33</v>
      </c>
      <c r="U19" s="2" t="s">
        <v>33</v>
      </c>
      <c r="V19" s="6" t="s">
        <v>138</v>
      </c>
      <c r="W19" s="6" t="s">
        <v>139</v>
      </c>
      <c r="X19" s="2" t="n">
        <v>73.1</v>
      </c>
      <c r="Y19" s="4" t="n">
        <f aca="false">X19/2</f>
        <v>36.55</v>
      </c>
      <c r="Z19" s="2" t="n">
        <v>200</v>
      </c>
      <c r="AA19" s="2" t="n">
        <v>0</v>
      </c>
      <c r="AB19" s="2" t="n">
        <v>0</v>
      </c>
      <c r="AC19" s="6" t="s">
        <v>140</v>
      </c>
    </row>
    <row r="20" customFormat="false" ht="23.85" hidden="false" customHeight="false" outlineLevel="0" collapsed="false">
      <c r="A20" s="2" t="n">
        <v>19</v>
      </c>
      <c r="B20" s="2" t="s">
        <v>141</v>
      </c>
      <c r="C20" s="2" t="s">
        <v>77</v>
      </c>
      <c r="D20" s="2" t="n">
        <v>5</v>
      </c>
      <c r="E20" s="3" t="n">
        <v>0.35</v>
      </c>
      <c r="F20" s="3" t="n">
        <v>0.5</v>
      </c>
      <c r="G20" s="3" t="n">
        <f aca="false">Z20/(Z20+AA20+AB20)</f>
        <v>0.42</v>
      </c>
      <c r="H20" s="4" t="n">
        <f aca="false">IF(G20&gt;=1,1,INDEX(Summary!$B$42:$B$51,MATCH(G20,Summary!$A$42:$A$51,1))+(G20-INDEX(Summary!$A$42:$A$51,MATCH(G20,Summary!$A$42:$A$51,1)))*(INDEX(Summary!$B$42:$B$51,MATCH(G20,Summary!$A$42:$A$51,1)+1)-INDEX(Summary!$B$42:$B$51,MATCH(G20,Summary!$A$42:$A$51,1)))/(INDEX(Summary!$A$42:$A$51,MATCH(G20,Summary!$A$42:$A$51,1)+1)-INDEX(Summary!$A$42:$A$51,MATCH(G20,Summary!$A$42:$A$51,1))))</f>
        <v>5.05</v>
      </c>
      <c r="I20" s="5" t="b">
        <f aca="false">AND(G20&gt;=E20,G20&lt;=F20)</f>
        <v>1</v>
      </c>
      <c r="J20" s="6" t="s">
        <v>142</v>
      </c>
      <c r="K20" s="2" t="n">
        <v>4</v>
      </c>
      <c r="L20" s="2" t="n">
        <v>6</v>
      </c>
      <c r="M20" s="2" t="n">
        <v>152</v>
      </c>
      <c r="N20" s="6" t="s">
        <v>143</v>
      </c>
      <c r="O20" s="2" t="n">
        <v>5</v>
      </c>
      <c r="P20" s="2" t="n">
        <v>2</v>
      </c>
      <c r="Q20" s="2" t="n">
        <v>3</v>
      </c>
      <c r="R20" s="2" t="n">
        <v>8</v>
      </c>
      <c r="S20" s="2" t="n">
        <f aca="false">SUM(O20:R20)</f>
        <v>18</v>
      </c>
      <c r="T20" s="6" t="s">
        <v>144</v>
      </c>
      <c r="U20" s="2" t="s">
        <v>33</v>
      </c>
      <c r="V20" s="6" t="s">
        <v>145</v>
      </c>
      <c r="W20" s="6" t="s">
        <v>146</v>
      </c>
      <c r="X20" s="2" t="n">
        <v>184.7</v>
      </c>
      <c r="Y20" s="4" t="n">
        <f aca="false">X20/2</f>
        <v>92.35</v>
      </c>
      <c r="Z20" s="2" t="n">
        <v>84</v>
      </c>
      <c r="AA20" s="2" t="n">
        <v>13</v>
      </c>
      <c r="AB20" s="2" t="n">
        <v>103</v>
      </c>
      <c r="AC20" s="2" t="s">
        <v>33</v>
      </c>
    </row>
    <row r="21" customFormat="false" ht="23.85" hidden="false" customHeight="false" outlineLevel="0" collapsed="false">
      <c r="A21" s="2" t="n">
        <v>20</v>
      </c>
      <c r="B21" s="2" t="s">
        <v>147</v>
      </c>
      <c r="C21" s="2" t="s">
        <v>90</v>
      </c>
      <c r="D21" s="2" t="n">
        <v>8</v>
      </c>
      <c r="E21" s="3" t="n">
        <v>0.12</v>
      </c>
      <c r="F21" s="3" t="n">
        <v>0.22</v>
      </c>
      <c r="G21" s="3" t="n">
        <f aca="false">Z21/(Z21+AA21+AB21)</f>
        <v>0.21</v>
      </c>
      <c r="H21" s="4" t="n">
        <f aca="false">IF(G21&gt;=1,1,INDEX(Summary!$B$42:$B$51,MATCH(G21,Summary!$A$42:$A$51,1))+(G21-INDEX(Summary!$A$42:$A$51,MATCH(G21,Summary!$A$42:$A$51,1)))*(INDEX(Summary!$B$42:$B$51,MATCH(G21,Summary!$A$42:$A$51,1)+1)-INDEX(Summary!$B$42:$B$51,MATCH(G21,Summary!$A$42:$A$51,1)))/(INDEX(Summary!$A$42:$A$51,MATCH(G21,Summary!$A$42:$A$51,1)+1)-INDEX(Summary!$A$42:$A$51,MATCH(G21,Summary!$A$42:$A$51,1))))</f>
        <v>7.42857142857143</v>
      </c>
      <c r="I21" s="5" t="b">
        <f aca="false">AND(G21&gt;=E21,G21&lt;=F21)</f>
        <v>1</v>
      </c>
      <c r="J21" s="6" t="s">
        <v>148</v>
      </c>
      <c r="K21" s="2" t="n">
        <v>4</v>
      </c>
      <c r="L21" s="2" t="n">
        <v>6</v>
      </c>
      <c r="M21" s="2" t="n">
        <v>176</v>
      </c>
      <c r="N21" s="6" t="s">
        <v>149</v>
      </c>
      <c r="O21" s="2" t="n">
        <v>7</v>
      </c>
      <c r="P21" s="2" t="n">
        <v>6</v>
      </c>
      <c r="Q21" s="2" t="n">
        <v>5</v>
      </c>
      <c r="R21" s="2" t="n">
        <v>6</v>
      </c>
      <c r="S21" s="2" t="n">
        <f aca="false">SUM(O21:R21)</f>
        <v>24</v>
      </c>
      <c r="T21" s="6" t="s">
        <v>150</v>
      </c>
      <c r="U21" s="2" t="s">
        <v>33</v>
      </c>
      <c r="V21" s="6" t="s">
        <v>151</v>
      </c>
      <c r="W21" s="6" t="s">
        <v>152</v>
      </c>
      <c r="X21" s="2" t="n">
        <v>146.2</v>
      </c>
      <c r="Y21" s="4" t="n">
        <f aca="false">X21/2</f>
        <v>73.1</v>
      </c>
      <c r="Z21" s="2" t="n">
        <v>42</v>
      </c>
      <c r="AA21" s="2" t="n">
        <v>0</v>
      </c>
      <c r="AB21" s="2" t="n">
        <v>158</v>
      </c>
      <c r="AC21" s="2" t="s">
        <v>33</v>
      </c>
    </row>
    <row r="22" customFormat="false" ht="23.85" hidden="false" customHeight="false" outlineLevel="0" collapsed="false">
      <c r="A22" s="2" t="n">
        <v>21</v>
      </c>
      <c r="B22" s="2" t="s">
        <v>153</v>
      </c>
      <c r="C22" s="6" t="s">
        <v>154</v>
      </c>
      <c r="D22" s="2" t="n">
        <v>5</v>
      </c>
      <c r="E22" s="3" t="n">
        <v>0.35</v>
      </c>
      <c r="F22" s="3" t="n">
        <v>0.5</v>
      </c>
      <c r="G22" s="3" t="n">
        <f aca="false">Z22/(Z22+AA22+AB22)</f>
        <v>0.4</v>
      </c>
      <c r="H22" s="4" t="n">
        <f aca="false">IF(G22&gt;=1,1,INDEX(Summary!$B$42:$B$51,MATCH(G22,Summary!$A$42:$A$51,1))+(G22-INDEX(Summary!$A$42:$A$51,MATCH(G22,Summary!$A$42:$A$51,1)))*(INDEX(Summary!$B$42:$B$51,MATCH(G22,Summary!$A$42:$A$51,1)+1)-INDEX(Summary!$B$42:$B$51,MATCH(G22,Summary!$A$42:$A$51,1)))/(INDEX(Summary!$A$42:$A$51,MATCH(G22,Summary!$A$42:$A$51,1)+1)-INDEX(Summary!$A$42:$A$51,MATCH(G22,Summary!$A$42:$A$51,1))))</f>
        <v>5.25</v>
      </c>
      <c r="I22" s="5" t="b">
        <f aca="false">AND(G22&gt;=E22,G22&lt;=F22)</f>
        <v>1</v>
      </c>
      <c r="J22" s="6" t="s">
        <v>155</v>
      </c>
      <c r="K22" s="2" t="n">
        <v>3</v>
      </c>
      <c r="L22" s="2" t="n">
        <v>6</v>
      </c>
      <c r="M22" s="2" t="n">
        <v>140</v>
      </c>
      <c r="N22" s="6" t="s">
        <v>156</v>
      </c>
      <c r="O22" s="2" t="n">
        <v>9</v>
      </c>
      <c r="P22" s="2" t="n">
        <v>6</v>
      </c>
      <c r="Q22" s="2" t="n">
        <v>4</v>
      </c>
      <c r="R22" s="2" t="n">
        <v>3</v>
      </c>
      <c r="S22" s="2" t="n">
        <f aca="false">SUM(O22:R22)</f>
        <v>22</v>
      </c>
      <c r="T22" s="6" t="s">
        <v>126</v>
      </c>
      <c r="U22" s="2" t="s">
        <v>33</v>
      </c>
      <c r="V22" s="2" t="s">
        <v>157</v>
      </c>
      <c r="W22" s="6" t="s">
        <v>158</v>
      </c>
      <c r="X22" s="2" t="n">
        <v>122.2</v>
      </c>
      <c r="Y22" s="4" t="n">
        <f aca="false">X22/2</f>
        <v>61.1</v>
      </c>
      <c r="Z22" s="2" t="n">
        <v>80</v>
      </c>
      <c r="AA22" s="2" t="n">
        <v>94</v>
      </c>
      <c r="AB22" s="2" t="n">
        <v>26</v>
      </c>
      <c r="AC22" s="2" t="s">
        <v>33</v>
      </c>
    </row>
    <row r="23" customFormat="false" ht="15" hidden="false" customHeight="false" outlineLevel="0" collapsed="false">
      <c r="A23" s="2" t="n">
        <v>22</v>
      </c>
      <c r="B23" s="2" t="s">
        <v>159</v>
      </c>
      <c r="C23" s="2" t="s">
        <v>84</v>
      </c>
      <c r="D23" s="2" t="n">
        <v>3</v>
      </c>
      <c r="E23" s="3" t="n">
        <v>0.55</v>
      </c>
      <c r="F23" s="3" t="n">
        <v>0.75</v>
      </c>
      <c r="G23" s="3" t="n">
        <f aca="false">Z23/(Z23+AA23+AB23)</f>
        <v>0.8</v>
      </c>
      <c r="H23" s="4" t="n">
        <f aca="false">IF(G23&gt;=1,1,INDEX(Summary!$B$42:$B$51,MATCH(G23,Summary!$A$42:$A$51,1))+(G23-INDEX(Summary!$A$42:$A$51,MATCH(G23,Summary!$A$42:$A$51,1)))*(INDEX(Summary!$B$42:$B$51,MATCH(G23,Summary!$A$42:$A$51,1)+1)-INDEX(Summary!$B$42:$B$51,MATCH(G23,Summary!$A$42:$A$51,1)))/(INDEX(Summary!$A$42:$A$51,MATCH(G23,Summary!$A$42:$A$51,1)+1)-INDEX(Summary!$A$42:$A$51,MATCH(G23,Summary!$A$42:$A$51,1))))</f>
        <v>2.25</v>
      </c>
      <c r="I23" s="5" t="b">
        <f aca="false">AND(G23&gt;=E23,G23&lt;=F23)</f>
        <v>0</v>
      </c>
      <c r="J23" s="2" t="s">
        <v>119</v>
      </c>
      <c r="K23" s="2" t="n">
        <v>2</v>
      </c>
      <c r="L23" s="2" t="n">
        <v>5</v>
      </c>
      <c r="M23" s="2" t="n">
        <v>128</v>
      </c>
      <c r="N23" s="6" t="s">
        <v>160</v>
      </c>
      <c r="O23" s="2" t="n">
        <v>0</v>
      </c>
      <c r="P23" s="2" t="n">
        <v>0</v>
      </c>
      <c r="Q23" s="2" t="n">
        <v>10</v>
      </c>
      <c r="R23" s="2" t="n">
        <v>4</v>
      </c>
      <c r="S23" s="2" t="n">
        <f aca="false">SUM(O23:R23)</f>
        <v>14</v>
      </c>
      <c r="T23" s="2" t="s">
        <v>33</v>
      </c>
      <c r="U23" s="2" t="s">
        <v>33</v>
      </c>
      <c r="V23" s="6" t="s">
        <v>161</v>
      </c>
      <c r="W23" s="6" t="s">
        <v>162</v>
      </c>
      <c r="X23" s="2" t="n">
        <v>48.3</v>
      </c>
      <c r="Y23" s="4" t="n">
        <f aca="false">X23/2</f>
        <v>24.15</v>
      </c>
      <c r="Z23" s="2" t="n">
        <v>160</v>
      </c>
      <c r="AA23" s="2" t="n">
        <v>40</v>
      </c>
      <c r="AB23" s="2" t="n">
        <v>0</v>
      </c>
      <c r="AC23" s="2" t="s">
        <v>33</v>
      </c>
    </row>
    <row r="24" customFormat="false" ht="23.85" hidden="false" customHeight="false" outlineLevel="0" collapsed="false">
      <c r="A24" s="2" t="n">
        <v>23</v>
      </c>
      <c r="B24" s="2" t="s">
        <v>163</v>
      </c>
      <c r="C24" s="2" t="s">
        <v>63</v>
      </c>
      <c r="D24" s="2" t="n">
        <v>6</v>
      </c>
      <c r="E24" s="3" t="n">
        <v>0.25</v>
      </c>
      <c r="F24" s="3" t="n">
        <v>0.4</v>
      </c>
      <c r="G24" s="3" t="n">
        <f aca="false">Z24/(Z24+AA24+AB24)</f>
        <v>0.375</v>
      </c>
      <c r="H24" s="4" t="n">
        <f aca="false">IF(G24&gt;=1,1,INDEX(Summary!$B$42:$B$51,MATCH(G24,Summary!$A$42:$A$51,1))+(G24-INDEX(Summary!$A$42:$A$51,MATCH(G24,Summary!$A$42:$A$51,1)))*(INDEX(Summary!$B$42:$B$51,MATCH(G24,Summary!$A$42:$A$51,1)+1)-INDEX(Summary!$B$42:$B$51,MATCH(G24,Summary!$A$42:$A$51,1)))/(INDEX(Summary!$A$42:$A$51,MATCH(G24,Summary!$A$42:$A$51,1)+1)-INDEX(Summary!$A$42:$A$51,MATCH(G24,Summary!$A$42:$A$51,1))))</f>
        <v>5.5</v>
      </c>
      <c r="I24" s="5" t="b">
        <f aca="false">AND(G24&gt;=E24,G24&lt;=F24)</f>
        <v>1</v>
      </c>
      <c r="J24" s="6" t="s">
        <v>164</v>
      </c>
      <c r="K24" s="2" t="n">
        <v>4</v>
      </c>
      <c r="L24" s="2" t="n">
        <v>6</v>
      </c>
      <c r="M24" s="2" t="n">
        <v>168</v>
      </c>
      <c r="N24" s="6" t="s">
        <v>165</v>
      </c>
      <c r="O24" s="2" t="n">
        <v>13</v>
      </c>
      <c r="P24" s="2" t="n">
        <v>4</v>
      </c>
      <c r="Q24" s="2" t="n">
        <v>4</v>
      </c>
      <c r="R24" s="2" t="n">
        <v>5</v>
      </c>
      <c r="S24" s="2" t="n">
        <f aca="false">SUM(O24:R24)</f>
        <v>26</v>
      </c>
      <c r="T24" s="6" t="s">
        <v>166</v>
      </c>
      <c r="U24" s="2" t="s">
        <v>33</v>
      </c>
      <c r="V24" s="2" t="s">
        <v>66</v>
      </c>
      <c r="W24" s="6" t="s">
        <v>167</v>
      </c>
      <c r="X24" s="2" t="n">
        <v>136.8</v>
      </c>
      <c r="Y24" s="4" t="n">
        <f aca="false">X24/2</f>
        <v>68.4</v>
      </c>
      <c r="Z24" s="2" t="n">
        <v>75</v>
      </c>
      <c r="AA24" s="2" t="n">
        <v>61</v>
      </c>
      <c r="AB24" s="2" t="n">
        <v>64</v>
      </c>
      <c r="AC24" s="2" t="s">
        <v>33</v>
      </c>
    </row>
    <row r="25" customFormat="false" ht="23.85" hidden="false" customHeight="false" outlineLevel="0" collapsed="false">
      <c r="A25" s="2" t="n">
        <v>24</v>
      </c>
      <c r="B25" s="2" t="s">
        <v>168</v>
      </c>
      <c r="C25" s="2" t="s">
        <v>57</v>
      </c>
      <c r="D25" s="2" t="n">
        <v>4</v>
      </c>
      <c r="E25" s="3" t="n">
        <v>0.45</v>
      </c>
      <c r="F25" s="3" t="n">
        <v>0.6</v>
      </c>
      <c r="G25" s="3" t="n">
        <f aca="false">Z25/(Z25+AA25+AB25)</f>
        <v>1</v>
      </c>
      <c r="H25" s="4" t="n">
        <f aca="false">IF(G25&gt;=1,1,INDEX(Summary!$B$42:$B$51,MATCH(G25,Summary!$A$42:$A$51,1))+(G25-INDEX(Summary!$A$42:$A$51,MATCH(G25,Summary!$A$42:$A$51,1)))*(INDEX(Summary!$B$42:$B$51,MATCH(G25,Summary!$A$42:$A$51,1)+1)-INDEX(Summary!$B$42:$B$51,MATCH(G25,Summary!$A$42:$A$51,1)))/(INDEX(Summary!$A$42:$A$51,MATCH(G25,Summary!$A$42:$A$51,1)+1)-INDEX(Summary!$A$42:$A$51,MATCH(G25,Summary!$A$42:$A$51,1))))</f>
        <v>1</v>
      </c>
      <c r="I25" s="5" t="b">
        <f aca="false">AND(G25&gt;=E25,G25&lt;=F25)</f>
        <v>0</v>
      </c>
      <c r="J25" s="6" t="s">
        <v>169</v>
      </c>
      <c r="K25" s="2" t="n">
        <v>5</v>
      </c>
      <c r="L25" s="2" t="n">
        <v>6</v>
      </c>
      <c r="M25" s="2" t="n">
        <v>192</v>
      </c>
      <c r="N25" s="6" t="s">
        <v>170</v>
      </c>
      <c r="O25" s="2" t="n">
        <v>0</v>
      </c>
      <c r="P25" s="2" t="n">
        <v>0</v>
      </c>
      <c r="Q25" s="2" t="n">
        <v>9</v>
      </c>
      <c r="R25" s="2" t="n">
        <v>10</v>
      </c>
      <c r="S25" s="2" t="n">
        <f aca="false">SUM(O25:R25)</f>
        <v>19</v>
      </c>
      <c r="T25" s="2" t="s">
        <v>33</v>
      </c>
      <c r="U25" s="2" t="s">
        <v>33</v>
      </c>
      <c r="V25" s="6" t="s">
        <v>171</v>
      </c>
      <c r="W25" s="6" t="s">
        <v>172</v>
      </c>
      <c r="X25" s="2" t="n">
        <v>105.6</v>
      </c>
      <c r="Y25" s="4" t="n">
        <f aca="false">X25/2</f>
        <v>52.8</v>
      </c>
      <c r="Z25" s="2" t="n">
        <v>200</v>
      </c>
      <c r="AA25" s="2" t="n">
        <v>0</v>
      </c>
      <c r="AB25" s="2" t="n">
        <v>0</v>
      </c>
      <c r="AC25" s="2" t="s">
        <v>33</v>
      </c>
    </row>
    <row r="26" customFormat="false" ht="23.85" hidden="false" customHeight="false" outlineLevel="0" collapsed="false">
      <c r="A26" s="2" t="n">
        <v>25</v>
      </c>
      <c r="B26" s="2" t="s">
        <v>173</v>
      </c>
      <c r="C26" s="2" t="s">
        <v>63</v>
      </c>
      <c r="D26" s="2" t="n">
        <v>8</v>
      </c>
      <c r="E26" s="3" t="n">
        <v>0.12</v>
      </c>
      <c r="F26" s="3" t="n">
        <v>0.22</v>
      </c>
      <c r="G26" s="3" t="n">
        <f aca="false">Z26/(Z26+AA26+AB26)</f>
        <v>0.205</v>
      </c>
      <c r="H26" s="4" t="n">
        <f aca="false">IF(G26&gt;=1,1,INDEX(Summary!$B$42:$B$51,MATCH(G26,Summary!$A$42:$A$51,1))+(G26-INDEX(Summary!$A$42:$A$51,MATCH(G26,Summary!$A$42:$A$51,1)))*(INDEX(Summary!$B$42:$B$51,MATCH(G26,Summary!$A$42:$A$51,1)+1)-INDEX(Summary!$B$42:$B$51,MATCH(G26,Summary!$A$42:$A$51,1)))/(INDEX(Summary!$A$42:$A$51,MATCH(G26,Summary!$A$42:$A$51,1)+1)-INDEX(Summary!$A$42:$A$51,MATCH(G26,Summary!$A$42:$A$51,1))))</f>
        <v>7.5</v>
      </c>
      <c r="I26" s="5" t="b">
        <f aca="false">AND(G26&gt;=E26,G26&lt;=F26)</f>
        <v>1</v>
      </c>
      <c r="J26" s="6" t="s">
        <v>174</v>
      </c>
      <c r="K26" s="2" t="n">
        <v>4</v>
      </c>
      <c r="L26" s="2" t="n">
        <v>7</v>
      </c>
      <c r="M26" s="2" t="n">
        <v>192</v>
      </c>
      <c r="N26" s="6" t="s">
        <v>175</v>
      </c>
      <c r="O26" s="2" t="n">
        <v>12</v>
      </c>
      <c r="P26" s="2" t="n">
        <v>10</v>
      </c>
      <c r="Q26" s="2" t="n">
        <v>3</v>
      </c>
      <c r="R26" s="2" t="n">
        <v>5</v>
      </c>
      <c r="S26" s="2" t="n">
        <f aca="false">SUM(O26:R26)</f>
        <v>30</v>
      </c>
      <c r="T26" s="6" t="s">
        <v>150</v>
      </c>
      <c r="U26" s="2" t="s">
        <v>33</v>
      </c>
      <c r="V26" s="6" t="s">
        <v>176</v>
      </c>
      <c r="W26" s="6" t="s">
        <v>177</v>
      </c>
      <c r="X26" s="2" t="n">
        <v>169.5</v>
      </c>
      <c r="Y26" s="4" t="n">
        <f aca="false">X26/2</f>
        <v>84.75</v>
      </c>
      <c r="Z26" s="2" t="n">
        <v>41</v>
      </c>
      <c r="AA26" s="2" t="n">
        <v>0</v>
      </c>
      <c r="AB26" s="2" t="n">
        <v>159</v>
      </c>
      <c r="AC26" s="2" t="s">
        <v>33</v>
      </c>
    </row>
    <row r="27" customFormat="false" ht="23.85" hidden="false" customHeight="false" outlineLevel="0" collapsed="false">
      <c r="A27" s="2" t="n">
        <v>26</v>
      </c>
      <c r="B27" s="2" t="s">
        <v>178</v>
      </c>
      <c r="C27" s="6" t="s">
        <v>69</v>
      </c>
      <c r="D27" s="2" t="n">
        <v>3</v>
      </c>
      <c r="E27" s="3" t="n">
        <v>0.55</v>
      </c>
      <c r="F27" s="3" t="n">
        <v>0.75</v>
      </c>
      <c r="G27" s="3" t="n">
        <f aca="false">Z27/(Z27+AA27+AB27)</f>
        <v>0.7</v>
      </c>
      <c r="H27" s="4" t="n">
        <f aca="false">IF(G27&gt;=1,1,INDEX(Summary!$B$42:$B$51,MATCH(G27,Summary!$A$42:$A$51,1))+(G27-INDEX(Summary!$A$42:$A$51,MATCH(G27,Summary!$A$42:$A$51,1)))*(INDEX(Summary!$B$42:$B$51,MATCH(G27,Summary!$A$42:$A$51,1)+1)-INDEX(Summary!$B$42:$B$51,MATCH(G27,Summary!$A$42:$A$51,1)))/(INDEX(Summary!$A$42:$A$51,MATCH(G27,Summary!$A$42:$A$51,1)+1)-INDEX(Summary!$A$42:$A$51,MATCH(G27,Summary!$A$42:$A$51,1))))</f>
        <v>2.75</v>
      </c>
      <c r="I27" s="5" t="b">
        <f aca="false">AND(G27&gt;=E27,G27&lt;=F27)</f>
        <v>1</v>
      </c>
      <c r="J27" s="6" t="s">
        <v>179</v>
      </c>
      <c r="K27" s="2" t="n">
        <v>3</v>
      </c>
      <c r="L27" s="2" t="n">
        <v>6</v>
      </c>
      <c r="M27" s="2" t="n">
        <v>144</v>
      </c>
      <c r="N27" s="6" t="s">
        <v>180</v>
      </c>
      <c r="O27" s="2" t="n">
        <v>0</v>
      </c>
      <c r="P27" s="2" t="n">
        <v>4</v>
      </c>
      <c r="Q27" s="2" t="n">
        <v>9</v>
      </c>
      <c r="R27" s="2" t="n">
        <v>4</v>
      </c>
      <c r="S27" s="2" t="n">
        <f aca="false">SUM(O27:R27)</f>
        <v>17</v>
      </c>
      <c r="T27" s="6" t="s">
        <v>181</v>
      </c>
      <c r="U27" s="6" t="s">
        <v>182</v>
      </c>
      <c r="V27" s="6" t="s">
        <v>161</v>
      </c>
      <c r="W27" s="6" t="s">
        <v>112</v>
      </c>
      <c r="X27" s="2" t="n">
        <v>115.7</v>
      </c>
      <c r="Y27" s="4" t="n">
        <f aca="false">X27/2</f>
        <v>57.85</v>
      </c>
      <c r="Z27" s="2" t="n">
        <v>140</v>
      </c>
      <c r="AA27" s="2" t="n">
        <v>60</v>
      </c>
      <c r="AB27" s="2" t="n">
        <v>0</v>
      </c>
      <c r="AC27" s="2" t="s">
        <v>33</v>
      </c>
    </row>
    <row r="28" customFormat="false" ht="23.85" hidden="false" customHeight="false" outlineLevel="0" collapsed="false">
      <c r="A28" s="2" t="n">
        <v>27</v>
      </c>
      <c r="B28" s="2" t="s">
        <v>183</v>
      </c>
      <c r="C28" s="2" t="s">
        <v>77</v>
      </c>
      <c r="D28" s="2" t="n">
        <v>5</v>
      </c>
      <c r="E28" s="3" t="n">
        <v>0.35</v>
      </c>
      <c r="F28" s="3" t="n">
        <v>0.5</v>
      </c>
      <c r="G28" s="3" t="n">
        <f aca="false">Z28/(Z28+AA28+AB28)</f>
        <v>0.65</v>
      </c>
      <c r="H28" s="4" t="n">
        <f aca="false">IF(G28&gt;=1,1,INDEX(Summary!$B$42:$B$51,MATCH(G28,Summary!$A$42:$A$51,1))+(G28-INDEX(Summary!$A$42:$A$51,MATCH(G28,Summary!$A$42:$A$51,1)))*(INDEX(Summary!$B$42:$B$51,MATCH(G28,Summary!$A$42:$A$51,1)+1)-INDEX(Summary!$B$42:$B$51,MATCH(G28,Summary!$A$42:$A$51,1)))/(INDEX(Summary!$A$42:$A$51,MATCH(G28,Summary!$A$42:$A$51,1)+1)-INDEX(Summary!$A$42:$A$51,MATCH(G28,Summary!$A$42:$A$51,1))))</f>
        <v>3</v>
      </c>
      <c r="I28" s="5" t="b">
        <f aca="false">AND(G28&gt;=E28,G28&lt;=F28)</f>
        <v>0</v>
      </c>
      <c r="J28" s="6" t="s">
        <v>148</v>
      </c>
      <c r="K28" s="2" t="n">
        <v>4</v>
      </c>
      <c r="L28" s="2" t="n">
        <v>6</v>
      </c>
      <c r="M28" s="2" t="n">
        <v>176</v>
      </c>
      <c r="N28" s="6" t="s">
        <v>184</v>
      </c>
      <c r="O28" s="2" t="n">
        <v>5</v>
      </c>
      <c r="P28" s="2" t="n">
        <v>6</v>
      </c>
      <c r="Q28" s="2" t="n">
        <v>6</v>
      </c>
      <c r="R28" s="2" t="n">
        <v>6</v>
      </c>
      <c r="S28" s="2" t="n">
        <f aca="false">SUM(O28:R28)</f>
        <v>23</v>
      </c>
      <c r="T28" s="6" t="s">
        <v>185</v>
      </c>
      <c r="U28" s="2" t="s">
        <v>33</v>
      </c>
      <c r="V28" s="2" t="s">
        <v>157</v>
      </c>
      <c r="W28" s="6" t="s">
        <v>186</v>
      </c>
      <c r="X28" s="2" t="n">
        <v>118.4</v>
      </c>
      <c r="Y28" s="4" t="n">
        <f aca="false">X28/2</f>
        <v>59.2</v>
      </c>
      <c r="Z28" s="2" t="n">
        <v>130</v>
      </c>
      <c r="AA28" s="2" t="n">
        <v>70</v>
      </c>
      <c r="AB28" s="2" t="n">
        <v>0</v>
      </c>
      <c r="AC28" s="2" t="s">
        <v>33</v>
      </c>
    </row>
    <row r="29" customFormat="false" ht="23.85" hidden="false" customHeight="false" outlineLevel="0" collapsed="false">
      <c r="A29" s="2" t="n">
        <v>28</v>
      </c>
      <c r="B29" s="2" t="s">
        <v>187</v>
      </c>
      <c r="C29" s="2" t="s">
        <v>84</v>
      </c>
      <c r="D29" s="2" t="n">
        <v>3</v>
      </c>
      <c r="E29" s="3" t="n">
        <v>0.55</v>
      </c>
      <c r="F29" s="3" t="n">
        <v>0.75</v>
      </c>
      <c r="G29" s="3" t="n">
        <f aca="false">Z29/(Z29+AA29+AB29)</f>
        <v>0.865</v>
      </c>
      <c r="H29" s="4" t="n">
        <f aca="false">IF(G29&gt;=1,1,INDEX(Summary!$B$42:$B$51,MATCH(G29,Summary!$A$42:$A$51,1))+(G29-INDEX(Summary!$A$42:$A$51,MATCH(G29,Summary!$A$42:$A$51,1)))*(INDEX(Summary!$B$42:$B$51,MATCH(G29,Summary!$A$42:$A$51,1)+1)-INDEX(Summary!$B$42:$B$51,MATCH(G29,Summary!$A$42:$A$51,1)))/(INDEX(Summary!$A$42:$A$51,MATCH(G29,Summary!$A$42:$A$51,1)+1)-INDEX(Summary!$A$42:$A$51,MATCH(G29,Summary!$A$42:$A$51,1))))</f>
        <v>1.9</v>
      </c>
      <c r="I29" s="5" t="b">
        <f aca="false">AND(G29&gt;=E29,G29&lt;=F29)</f>
        <v>0</v>
      </c>
      <c r="J29" s="6" t="s">
        <v>188</v>
      </c>
      <c r="K29" s="2" t="n">
        <v>3</v>
      </c>
      <c r="L29" s="2" t="n">
        <v>6</v>
      </c>
      <c r="M29" s="2" t="n">
        <v>152</v>
      </c>
      <c r="N29" s="6" t="s">
        <v>189</v>
      </c>
      <c r="O29" s="2" t="n">
        <v>0</v>
      </c>
      <c r="P29" s="2" t="n">
        <v>0</v>
      </c>
      <c r="Q29" s="2" t="n">
        <v>7</v>
      </c>
      <c r="R29" s="2" t="n">
        <v>8</v>
      </c>
      <c r="S29" s="2" t="n">
        <f aca="false">SUM(O29:R29)</f>
        <v>15</v>
      </c>
      <c r="T29" s="6" t="s">
        <v>190</v>
      </c>
      <c r="U29" s="2" t="s">
        <v>33</v>
      </c>
      <c r="V29" s="2" t="s">
        <v>99</v>
      </c>
      <c r="W29" s="6" t="s">
        <v>191</v>
      </c>
      <c r="X29" s="2" t="n">
        <v>65.5</v>
      </c>
      <c r="Y29" s="4" t="n">
        <f aca="false">X29/2</f>
        <v>32.75</v>
      </c>
      <c r="Z29" s="2" t="n">
        <v>173</v>
      </c>
      <c r="AA29" s="2" t="n">
        <v>27</v>
      </c>
      <c r="AB29" s="2" t="n">
        <v>0</v>
      </c>
      <c r="AC29" s="2" t="s">
        <v>33</v>
      </c>
    </row>
    <row r="30" customFormat="false" ht="23.85" hidden="false" customHeight="false" outlineLevel="0" collapsed="false">
      <c r="A30" s="2" t="n">
        <v>29</v>
      </c>
      <c r="B30" s="2" t="s">
        <v>192</v>
      </c>
      <c r="C30" s="2" t="s">
        <v>63</v>
      </c>
      <c r="D30" s="2" t="n">
        <v>6</v>
      </c>
      <c r="E30" s="3" t="n">
        <v>0.25</v>
      </c>
      <c r="F30" s="3" t="n">
        <v>0.4</v>
      </c>
      <c r="G30" s="3" t="n">
        <f aca="false">Z30/(Z30+AA30+AB30)</f>
        <v>0.295</v>
      </c>
      <c r="H30" s="4" t="n">
        <f aca="false">IF(G30&gt;=1,1,INDEX(Summary!$B$42:$B$51,MATCH(G30,Summary!$A$42:$A$51,1))+(G30-INDEX(Summary!$A$42:$A$51,MATCH(G30,Summary!$A$42:$A$51,1)))*(INDEX(Summary!$B$42:$B$51,MATCH(G30,Summary!$A$42:$A$51,1)+1)-INDEX(Summary!$B$42:$B$51,MATCH(G30,Summary!$A$42:$A$51,1)))/(INDEX(Summary!$A$42:$A$51,MATCH(G30,Summary!$A$42:$A$51,1)+1)-INDEX(Summary!$A$42:$A$51,MATCH(G30,Summary!$A$42:$A$51,1))))</f>
        <v>6.35294117647059</v>
      </c>
      <c r="I30" s="5" t="b">
        <f aca="false">AND(G30&gt;=E30,G30&lt;=F30)</f>
        <v>1</v>
      </c>
      <c r="J30" s="6" t="s">
        <v>193</v>
      </c>
      <c r="K30" s="2" t="n">
        <v>4</v>
      </c>
      <c r="L30" s="2" t="n">
        <v>7</v>
      </c>
      <c r="M30" s="2" t="n">
        <v>208</v>
      </c>
      <c r="N30" s="6" t="s">
        <v>194</v>
      </c>
      <c r="O30" s="2" t="n">
        <v>7</v>
      </c>
      <c r="P30" s="2" t="n">
        <v>8</v>
      </c>
      <c r="Q30" s="2" t="n">
        <v>6</v>
      </c>
      <c r="R30" s="2" t="n">
        <v>7</v>
      </c>
      <c r="S30" s="2" t="n">
        <f aca="false">SUM(O30:R30)</f>
        <v>28</v>
      </c>
      <c r="T30" s="6" t="s">
        <v>195</v>
      </c>
      <c r="U30" s="2" t="s">
        <v>33</v>
      </c>
      <c r="V30" s="2" t="s">
        <v>94</v>
      </c>
      <c r="W30" s="6" t="s">
        <v>196</v>
      </c>
      <c r="X30" s="2" t="n">
        <v>131.4</v>
      </c>
      <c r="Y30" s="4" t="n">
        <f aca="false">X30/2</f>
        <v>65.7</v>
      </c>
      <c r="Z30" s="2" t="n">
        <v>59</v>
      </c>
      <c r="AA30" s="2" t="n">
        <v>31</v>
      </c>
      <c r="AB30" s="2" t="n">
        <v>110</v>
      </c>
      <c r="AC30" s="2" t="s">
        <v>33</v>
      </c>
    </row>
    <row r="31" customFormat="false" ht="23.85" hidden="false" customHeight="false" outlineLevel="0" collapsed="false">
      <c r="A31" s="2" t="n">
        <v>30</v>
      </c>
      <c r="B31" s="2" t="s">
        <v>197</v>
      </c>
      <c r="C31" s="2" t="s">
        <v>90</v>
      </c>
      <c r="D31" s="2" t="n">
        <v>9</v>
      </c>
      <c r="E31" s="3" t="n">
        <v>0.08</v>
      </c>
      <c r="F31" s="3" t="n">
        <v>0.15</v>
      </c>
      <c r="G31" s="3" t="n">
        <f aca="false">Z31/(Z31+AA31+AB31)</f>
        <v>0.15</v>
      </c>
      <c r="H31" s="4" t="n">
        <f aca="false">IF(G31&gt;=1,1,INDEX(Summary!$B$42:$B$51,MATCH(G31,Summary!$A$42:$A$51,1))+(G31-INDEX(Summary!$A$42:$A$51,MATCH(G31,Summary!$A$42:$A$51,1)))*(INDEX(Summary!$B$42:$B$51,MATCH(G31,Summary!$A$42:$A$51,1)+1)-INDEX(Summary!$B$42:$B$51,MATCH(G31,Summary!$A$42:$A$51,1)))/(INDEX(Summary!$A$42:$A$51,MATCH(G31,Summary!$A$42:$A$51,1)+1)-INDEX(Summary!$A$42:$A$51,MATCH(G31,Summary!$A$42:$A$51,1))))</f>
        <v>8.36363636363636</v>
      </c>
      <c r="I31" s="5" t="b">
        <f aca="false">AND(G31&gt;=E31,G31&lt;=F31)</f>
        <v>1</v>
      </c>
      <c r="J31" s="6" t="s">
        <v>198</v>
      </c>
      <c r="K31" s="2" t="n">
        <v>5</v>
      </c>
      <c r="L31" s="2" t="n">
        <v>7</v>
      </c>
      <c r="M31" s="2" t="n">
        <v>240</v>
      </c>
      <c r="N31" s="6" t="s">
        <v>199</v>
      </c>
      <c r="O31" s="2" t="n">
        <v>12</v>
      </c>
      <c r="P31" s="2" t="n">
        <v>6</v>
      </c>
      <c r="Q31" s="2" t="n">
        <v>9</v>
      </c>
      <c r="R31" s="2" t="n">
        <v>7</v>
      </c>
      <c r="S31" s="2" t="n">
        <f aca="false">SUM(O31:R31)</f>
        <v>34</v>
      </c>
      <c r="T31" s="6" t="s">
        <v>200</v>
      </c>
      <c r="U31" s="2" t="s">
        <v>33</v>
      </c>
      <c r="V31" s="6" t="s">
        <v>201</v>
      </c>
      <c r="W31" s="6" t="s">
        <v>202</v>
      </c>
      <c r="X31" s="2" t="n">
        <v>176.4</v>
      </c>
      <c r="Y31" s="4" t="n">
        <f aca="false">X31/2</f>
        <v>88.2</v>
      </c>
      <c r="Z31" s="2" t="n">
        <v>30</v>
      </c>
      <c r="AA31" s="2" t="n">
        <v>59</v>
      </c>
      <c r="AB31" s="2" t="n">
        <v>111</v>
      </c>
      <c r="AC31" s="2" t="s">
        <v>33</v>
      </c>
    </row>
    <row r="32" customFormat="false" ht="23.85" hidden="false" customHeight="false" outlineLevel="0" collapsed="false">
      <c r="A32" s="2" t="n">
        <v>31</v>
      </c>
      <c r="B32" s="2" t="s">
        <v>203</v>
      </c>
      <c r="C32" s="2" t="s">
        <v>84</v>
      </c>
      <c r="D32" s="2" t="n">
        <v>3</v>
      </c>
      <c r="E32" s="3" t="n">
        <v>0.55</v>
      </c>
      <c r="F32" s="3" t="n">
        <v>0.75</v>
      </c>
      <c r="G32" s="3" t="n">
        <f aca="false">Z32/(Z32+AA32+AB32)</f>
        <v>0.84</v>
      </c>
      <c r="H32" s="4" t="n">
        <f aca="false">IF(G32&gt;=1,1,INDEX(Summary!$B$42:$B$51,MATCH(G32,Summary!$A$42:$A$51,1))+(G32-INDEX(Summary!$A$42:$A$51,MATCH(G32,Summary!$A$42:$A$51,1)))*(INDEX(Summary!$B$42:$B$51,MATCH(G32,Summary!$A$42:$A$51,1)+1)-INDEX(Summary!$B$42:$B$51,MATCH(G32,Summary!$A$42:$A$51,1)))/(INDEX(Summary!$A$42:$A$51,MATCH(G32,Summary!$A$42:$A$51,1)+1)-INDEX(Summary!$A$42:$A$51,MATCH(G32,Summary!$A$42:$A$51,1))))</f>
        <v>2.05</v>
      </c>
      <c r="I32" s="5" t="b">
        <f aca="false">AND(G32&gt;=E32,G32&lt;=F32)</f>
        <v>0</v>
      </c>
      <c r="J32" s="2" t="s">
        <v>204</v>
      </c>
      <c r="K32" s="2" t="n">
        <v>2</v>
      </c>
      <c r="L32" s="2" t="n">
        <v>6</v>
      </c>
      <c r="M32" s="2" t="n">
        <v>160</v>
      </c>
      <c r="N32" s="6" t="s">
        <v>205</v>
      </c>
      <c r="O32" s="2" t="n">
        <v>0</v>
      </c>
      <c r="P32" s="2" t="n">
        <v>0</v>
      </c>
      <c r="Q32" s="2" t="n">
        <v>5</v>
      </c>
      <c r="R32" s="2" t="n">
        <v>10</v>
      </c>
      <c r="S32" s="2" t="n">
        <f aca="false">SUM(O32:R32)</f>
        <v>15</v>
      </c>
      <c r="T32" s="2" t="s">
        <v>33</v>
      </c>
      <c r="U32" s="2" t="s">
        <v>33</v>
      </c>
      <c r="V32" s="6" t="s">
        <v>206</v>
      </c>
      <c r="W32" s="6" t="s">
        <v>207</v>
      </c>
      <c r="X32" s="2" t="n">
        <v>73.2</v>
      </c>
      <c r="Y32" s="4" t="n">
        <f aca="false">X32/2</f>
        <v>36.6</v>
      </c>
      <c r="Z32" s="2" t="n">
        <v>168</v>
      </c>
      <c r="AA32" s="2" t="n">
        <v>32</v>
      </c>
      <c r="AB32" s="2" t="n">
        <v>0</v>
      </c>
      <c r="AC32" s="2" t="s">
        <v>33</v>
      </c>
    </row>
    <row r="33" customFormat="false" ht="23.85" hidden="false" customHeight="false" outlineLevel="0" collapsed="false">
      <c r="A33" s="2" t="n">
        <v>32</v>
      </c>
      <c r="B33" s="2" t="s">
        <v>208</v>
      </c>
      <c r="C33" s="6" t="s">
        <v>69</v>
      </c>
      <c r="D33" s="2" t="n">
        <v>4</v>
      </c>
      <c r="E33" s="3" t="n">
        <v>0.45</v>
      </c>
      <c r="F33" s="3" t="n">
        <v>0.6</v>
      </c>
      <c r="G33" s="3" t="n">
        <f aca="false">Z33/(Z33+AA33+AB33)</f>
        <v>0.455</v>
      </c>
      <c r="H33" s="4" t="n">
        <f aca="false">IF(G33&gt;=1,1,INDEX(Summary!$B$42:$B$51,MATCH(G33,Summary!$A$42:$A$51,1))+(G33-INDEX(Summary!$A$42:$A$51,MATCH(G33,Summary!$A$42:$A$51,1)))*(INDEX(Summary!$B$42:$B$51,MATCH(G33,Summary!$A$42:$A$51,1)+1)-INDEX(Summary!$B$42:$B$51,MATCH(G33,Summary!$A$42:$A$51,1)))/(INDEX(Summary!$A$42:$A$51,MATCH(G33,Summary!$A$42:$A$51,1)+1)-INDEX(Summary!$A$42:$A$51,MATCH(G33,Summary!$A$42:$A$51,1))))</f>
        <v>4.7</v>
      </c>
      <c r="I33" s="5" t="b">
        <f aca="false">AND(G33&gt;=E33,G33&lt;=F33)</f>
        <v>1</v>
      </c>
      <c r="J33" s="6" t="s">
        <v>209</v>
      </c>
      <c r="K33" s="2" t="n">
        <v>3</v>
      </c>
      <c r="L33" s="2" t="n">
        <v>6</v>
      </c>
      <c r="M33" s="2" t="n">
        <v>168</v>
      </c>
      <c r="N33" s="6" t="s">
        <v>210</v>
      </c>
      <c r="O33" s="2" t="n">
        <v>0</v>
      </c>
      <c r="P33" s="2" t="n">
        <v>6</v>
      </c>
      <c r="Q33" s="2" t="n">
        <v>6</v>
      </c>
      <c r="R33" s="2" t="n">
        <v>7</v>
      </c>
      <c r="S33" s="2" t="n">
        <f aca="false">SUM(O33:R33)</f>
        <v>19</v>
      </c>
      <c r="T33" s="2" t="s">
        <v>211</v>
      </c>
      <c r="U33" s="6" t="s">
        <v>212</v>
      </c>
      <c r="V33" s="6" t="s">
        <v>161</v>
      </c>
      <c r="W33" s="6" t="s">
        <v>213</v>
      </c>
      <c r="X33" s="2" t="n">
        <v>134.8</v>
      </c>
      <c r="Y33" s="4" t="n">
        <f aca="false">X33/2</f>
        <v>67.4</v>
      </c>
      <c r="Z33" s="2" t="n">
        <v>91</v>
      </c>
      <c r="AA33" s="2" t="n">
        <v>109</v>
      </c>
      <c r="AB33" s="2" t="n">
        <v>0</v>
      </c>
      <c r="AC33" s="2" t="s">
        <v>33</v>
      </c>
    </row>
    <row r="34" customFormat="false" ht="23.85" hidden="false" customHeight="false" outlineLevel="0" collapsed="false">
      <c r="A34" s="2" t="n">
        <v>33</v>
      </c>
      <c r="B34" s="2" t="s">
        <v>214</v>
      </c>
      <c r="C34" s="2" t="s">
        <v>77</v>
      </c>
      <c r="D34" s="2" t="n">
        <v>5</v>
      </c>
      <c r="E34" s="3" t="n">
        <v>0.35</v>
      </c>
      <c r="F34" s="3" t="n">
        <v>0.5</v>
      </c>
      <c r="G34" s="3" t="n">
        <f aca="false">Z34/(Z34+AA34+AB34)</f>
        <v>0.34</v>
      </c>
      <c r="H34" s="4" t="n">
        <f aca="false">IF(G34&gt;=1,1,INDEX(Summary!$B$42:$B$51,MATCH(G34,Summary!$A$42:$A$51,1))+(G34-INDEX(Summary!$A$42:$A$51,MATCH(G34,Summary!$A$42:$A$51,1)))*(INDEX(Summary!$B$42:$B$51,MATCH(G34,Summary!$A$42:$A$51,1)+1)-INDEX(Summary!$B$42:$B$51,MATCH(G34,Summary!$A$42:$A$51,1)))/(INDEX(Summary!$A$42:$A$51,MATCH(G34,Summary!$A$42:$A$51,1)+1)-INDEX(Summary!$A$42:$A$51,MATCH(G34,Summary!$A$42:$A$51,1))))</f>
        <v>5.85</v>
      </c>
      <c r="I34" s="5" t="b">
        <f aca="false">AND(G34&gt;=E34,G34&lt;=F34)</f>
        <v>0</v>
      </c>
      <c r="J34" s="6" t="s">
        <v>215</v>
      </c>
      <c r="K34" s="2" t="n">
        <v>4</v>
      </c>
      <c r="L34" s="2" t="n">
        <v>7</v>
      </c>
      <c r="M34" s="2" t="n">
        <v>200</v>
      </c>
      <c r="N34" s="6" t="s">
        <v>216</v>
      </c>
      <c r="O34" s="2" t="n">
        <v>4</v>
      </c>
      <c r="P34" s="2" t="n">
        <v>6</v>
      </c>
      <c r="Q34" s="2" t="n">
        <v>8</v>
      </c>
      <c r="R34" s="2" t="n">
        <v>7</v>
      </c>
      <c r="S34" s="2" t="n">
        <f aca="false">SUM(O34:R34)</f>
        <v>25</v>
      </c>
      <c r="T34" s="2" t="s">
        <v>211</v>
      </c>
      <c r="U34" s="2" t="s">
        <v>33</v>
      </c>
      <c r="V34" s="2" t="s">
        <v>66</v>
      </c>
      <c r="W34" s="6" t="s">
        <v>217</v>
      </c>
      <c r="X34" s="2" t="n">
        <v>147.7</v>
      </c>
      <c r="Y34" s="4" t="n">
        <f aca="false">X34/2</f>
        <v>73.85</v>
      </c>
      <c r="Z34" s="2" t="n">
        <v>68</v>
      </c>
      <c r="AA34" s="2" t="n">
        <v>132</v>
      </c>
      <c r="AB34" s="2" t="n">
        <v>0</v>
      </c>
      <c r="AC34" s="2" t="s">
        <v>33</v>
      </c>
    </row>
    <row r="35" customFormat="false" ht="23.85" hidden="false" customHeight="false" outlineLevel="0" collapsed="false">
      <c r="A35" s="2" t="n">
        <v>34</v>
      </c>
      <c r="B35" s="2" t="s">
        <v>218</v>
      </c>
      <c r="C35" s="2" t="s">
        <v>57</v>
      </c>
      <c r="D35" s="2" t="n">
        <v>4</v>
      </c>
      <c r="E35" s="3" t="n">
        <v>0.45</v>
      </c>
      <c r="F35" s="3" t="n">
        <v>0.6</v>
      </c>
      <c r="G35" s="3" t="n">
        <f aca="false">Z35/(Z35+AA35+AB35)</f>
        <v>0.88</v>
      </c>
      <c r="H35" s="4" t="n">
        <f aca="false">IF(G35&gt;=1,1,INDEX(Summary!$B$42:$B$51,MATCH(G35,Summary!$A$42:$A$51,1))+(G35-INDEX(Summary!$A$42:$A$51,MATCH(G35,Summary!$A$42:$A$51,1)))*(INDEX(Summary!$B$42:$B$51,MATCH(G35,Summary!$A$42:$A$51,1)+1)-INDEX(Summary!$B$42:$B$51,MATCH(G35,Summary!$A$42:$A$51,1)))/(INDEX(Summary!$A$42:$A$51,MATCH(G35,Summary!$A$42:$A$51,1)+1)-INDEX(Summary!$A$42:$A$51,MATCH(G35,Summary!$A$42:$A$51,1))))</f>
        <v>1.8</v>
      </c>
      <c r="I35" s="5" t="b">
        <f aca="false">AND(G35&gt;=E35,G35&lt;=F35)</f>
        <v>0</v>
      </c>
      <c r="J35" s="6" t="s">
        <v>219</v>
      </c>
      <c r="K35" s="2" t="n">
        <v>5</v>
      </c>
      <c r="L35" s="2" t="n">
        <v>7</v>
      </c>
      <c r="M35" s="2" t="n">
        <v>232</v>
      </c>
      <c r="N35" s="6" t="s">
        <v>220</v>
      </c>
      <c r="O35" s="2" t="n">
        <v>0</v>
      </c>
      <c r="P35" s="2" t="n">
        <v>0</v>
      </c>
      <c r="Q35" s="2" t="n">
        <v>14</v>
      </c>
      <c r="R35" s="2" t="n">
        <v>10</v>
      </c>
      <c r="S35" s="2" t="n">
        <f aca="false">SUM(O35:R35)</f>
        <v>24</v>
      </c>
      <c r="T35" s="6" t="s">
        <v>221</v>
      </c>
      <c r="U35" s="2" t="s">
        <v>33</v>
      </c>
      <c r="V35" s="6" t="s">
        <v>222</v>
      </c>
      <c r="W35" s="6" t="s">
        <v>223</v>
      </c>
      <c r="X35" s="2" t="n">
        <v>119.5</v>
      </c>
      <c r="Y35" s="4" t="n">
        <f aca="false">X35/2</f>
        <v>59.75</v>
      </c>
      <c r="Z35" s="2" t="n">
        <v>176</v>
      </c>
      <c r="AA35" s="2" t="n">
        <v>24</v>
      </c>
      <c r="AB35" s="2" t="n">
        <v>0</v>
      </c>
      <c r="AC35" s="2" t="s">
        <v>33</v>
      </c>
    </row>
    <row r="36" customFormat="false" ht="23.85" hidden="false" customHeight="false" outlineLevel="0" collapsed="false">
      <c r="A36" s="2" t="n">
        <v>35</v>
      </c>
      <c r="B36" s="2" t="s">
        <v>224</v>
      </c>
      <c r="C36" s="2" t="s">
        <v>63</v>
      </c>
      <c r="D36" s="2" t="n">
        <v>8</v>
      </c>
      <c r="E36" s="3" t="n">
        <v>0.12</v>
      </c>
      <c r="F36" s="3" t="n">
        <v>0.22</v>
      </c>
      <c r="G36" s="3" t="n">
        <f aca="false">Z36/(Z36+AA36+AB36)</f>
        <v>0.215</v>
      </c>
      <c r="H36" s="4" t="n">
        <f aca="false">IF(G36&gt;=1,1,INDEX(Summary!$B$42:$B$51,MATCH(G36,Summary!$A$42:$A$51,1))+(G36-INDEX(Summary!$A$42:$A$51,MATCH(G36,Summary!$A$42:$A$51,1)))*(INDEX(Summary!$B$42:$B$51,MATCH(G36,Summary!$A$42:$A$51,1)+1)-INDEX(Summary!$B$42:$B$51,MATCH(G36,Summary!$A$42:$A$51,1)))/(INDEX(Summary!$A$42:$A$51,MATCH(G36,Summary!$A$42:$A$51,1)+1)-INDEX(Summary!$A$42:$A$51,MATCH(G36,Summary!$A$42:$A$51,1))))</f>
        <v>7.35714285714286</v>
      </c>
      <c r="I36" s="5" t="b">
        <f aca="false">AND(G36&gt;=E36,G36&lt;=F36)</f>
        <v>1</v>
      </c>
      <c r="J36" s="6" t="s">
        <v>225</v>
      </c>
      <c r="K36" s="2" t="n">
        <v>4</v>
      </c>
      <c r="L36" s="2" t="n">
        <v>7</v>
      </c>
      <c r="M36" s="2" t="n">
        <v>240</v>
      </c>
      <c r="N36" s="6" t="s">
        <v>226</v>
      </c>
      <c r="O36" s="2" t="n">
        <v>10</v>
      </c>
      <c r="P36" s="2" t="n">
        <v>6</v>
      </c>
      <c r="Q36" s="2" t="n">
        <v>4</v>
      </c>
      <c r="R36" s="2" t="n">
        <v>11</v>
      </c>
      <c r="S36" s="2" t="n">
        <f aca="false">SUM(O36:R36)</f>
        <v>31</v>
      </c>
      <c r="T36" s="6" t="s">
        <v>227</v>
      </c>
      <c r="U36" s="2" t="s">
        <v>33</v>
      </c>
      <c r="V36" s="6" t="s">
        <v>176</v>
      </c>
      <c r="W36" s="6" t="s">
        <v>177</v>
      </c>
      <c r="X36" s="2" t="n">
        <v>137.8</v>
      </c>
      <c r="Y36" s="4" t="n">
        <f aca="false">X36/2</f>
        <v>68.9</v>
      </c>
      <c r="Z36" s="2" t="n">
        <v>43</v>
      </c>
      <c r="AA36" s="2" t="n">
        <v>91</v>
      </c>
      <c r="AB36" s="2" t="n">
        <v>66</v>
      </c>
      <c r="AC36" s="6" t="s">
        <v>228</v>
      </c>
    </row>
    <row r="37" customFormat="false" ht="23.85" hidden="false" customHeight="false" outlineLevel="0" collapsed="false">
      <c r="A37" s="2" t="n">
        <v>36</v>
      </c>
      <c r="B37" s="2" t="s">
        <v>229</v>
      </c>
      <c r="C37" s="2" t="s">
        <v>84</v>
      </c>
      <c r="D37" s="2" t="n">
        <v>4</v>
      </c>
      <c r="E37" s="3" t="n">
        <v>0.45</v>
      </c>
      <c r="F37" s="3" t="n">
        <v>0.6</v>
      </c>
      <c r="G37" s="3" t="n">
        <f aca="false">Z37/(Z37+AA37+AB37)</f>
        <v>0.52</v>
      </c>
      <c r="H37" s="4" t="n">
        <f aca="false">IF(G37&gt;=1,1,INDEX(Summary!$B$42:$B$51,MATCH(G37,Summary!$A$42:$A$51,1))+(G37-INDEX(Summary!$A$42:$A$51,MATCH(G37,Summary!$A$42:$A$51,1)))*(INDEX(Summary!$B$42:$B$51,MATCH(G37,Summary!$A$42:$A$51,1)+1)-INDEX(Summary!$B$42:$B$51,MATCH(G37,Summary!$A$42:$A$51,1)))/(INDEX(Summary!$A$42:$A$51,MATCH(G37,Summary!$A$42:$A$51,1)+1)-INDEX(Summary!$A$42:$A$51,MATCH(G37,Summary!$A$42:$A$51,1))))</f>
        <v>4.05</v>
      </c>
      <c r="I37" s="5" t="b">
        <f aca="false">AND(G37&gt;=E37,G37&lt;=F37)</f>
        <v>1</v>
      </c>
      <c r="J37" s="6" t="s">
        <v>230</v>
      </c>
      <c r="K37" s="2" t="n">
        <v>3</v>
      </c>
      <c r="L37" s="2" t="n">
        <v>6</v>
      </c>
      <c r="M37" s="2" t="n">
        <v>184</v>
      </c>
      <c r="N37" s="6" t="s">
        <v>231</v>
      </c>
      <c r="O37" s="2" t="n">
        <v>0</v>
      </c>
      <c r="P37" s="2" t="n">
        <v>4</v>
      </c>
      <c r="Q37" s="2" t="n">
        <v>11</v>
      </c>
      <c r="R37" s="2" t="n">
        <v>6</v>
      </c>
      <c r="S37" s="2" t="n">
        <f aca="false">SUM(O37:R37)</f>
        <v>21</v>
      </c>
      <c r="T37" s="2" t="s">
        <v>211</v>
      </c>
      <c r="U37" s="2" t="s">
        <v>33</v>
      </c>
      <c r="V37" s="2" t="s">
        <v>99</v>
      </c>
      <c r="W37" s="6" t="s">
        <v>232</v>
      </c>
      <c r="X37" s="2" t="n">
        <v>105</v>
      </c>
      <c r="Y37" s="4" t="n">
        <f aca="false">X37/2</f>
        <v>52.5</v>
      </c>
      <c r="Z37" s="2" t="n">
        <v>104</v>
      </c>
      <c r="AA37" s="2" t="n">
        <v>96</v>
      </c>
      <c r="AB37" s="2" t="n">
        <v>0</v>
      </c>
      <c r="AC37" s="2" t="s">
        <v>33</v>
      </c>
    </row>
    <row r="38" customFormat="false" ht="23.85" hidden="false" customHeight="false" outlineLevel="0" collapsed="false">
      <c r="A38" s="2" t="n">
        <v>37</v>
      </c>
      <c r="B38" s="2" t="s">
        <v>233</v>
      </c>
      <c r="C38" s="2" t="s">
        <v>77</v>
      </c>
      <c r="D38" s="2" t="n">
        <v>6</v>
      </c>
      <c r="E38" s="3" t="n">
        <v>0.25</v>
      </c>
      <c r="F38" s="3" t="n">
        <v>0.4</v>
      </c>
      <c r="G38" s="3" t="n">
        <f aca="false">Z38/(Z38+AA38+AB38)</f>
        <v>0.375</v>
      </c>
      <c r="H38" s="4" t="n">
        <f aca="false">IF(G38&gt;=1,1,INDEX(Summary!$B$42:$B$51,MATCH(G38,Summary!$A$42:$A$51,1))+(G38-INDEX(Summary!$A$42:$A$51,MATCH(G38,Summary!$A$42:$A$51,1)))*(INDEX(Summary!$B$42:$B$51,MATCH(G38,Summary!$A$42:$A$51,1)+1)-INDEX(Summary!$B$42:$B$51,MATCH(G38,Summary!$A$42:$A$51,1)))/(INDEX(Summary!$A$42:$A$51,MATCH(G38,Summary!$A$42:$A$51,1)+1)-INDEX(Summary!$A$42:$A$51,MATCH(G38,Summary!$A$42:$A$51,1))))</f>
        <v>5.5</v>
      </c>
      <c r="I38" s="5" t="b">
        <f aca="false">AND(G38&gt;=E38,G38&lt;=F38)</f>
        <v>1</v>
      </c>
      <c r="J38" s="6" t="s">
        <v>234</v>
      </c>
      <c r="K38" s="2" t="n">
        <v>5</v>
      </c>
      <c r="L38" s="2" t="n">
        <v>7</v>
      </c>
      <c r="M38" s="2" t="n">
        <v>256</v>
      </c>
      <c r="N38" s="6" t="s">
        <v>235</v>
      </c>
      <c r="O38" s="2" t="n">
        <v>12</v>
      </c>
      <c r="P38" s="2" t="n">
        <v>8</v>
      </c>
      <c r="Q38" s="2" t="n">
        <v>5</v>
      </c>
      <c r="R38" s="2" t="n">
        <v>10</v>
      </c>
      <c r="S38" s="2" t="n">
        <f aca="false">SUM(O38:R38)</f>
        <v>35</v>
      </c>
      <c r="T38" s="6" t="s">
        <v>236</v>
      </c>
      <c r="U38" s="2" t="s">
        <v>33</v>
      </c>
      <c r="V38" s="6" t="s">
        <v>145</v>
      </c>
      <c r="W38" s="6" t="s">
        <v>237</v>
      </c>
      <c r="X38" s="2" t="n">
        <v>247.6</v>
      </c>
      <c r="Y38" s="4" t="n">
        <f aca="false">X38/2</f>
        <v>123.8</v>
      </c>
      <c r="Z38" s="2" t="n">
        <v>75</v>
      </c>
      <c r="AA38" s="2" t="n">
        <v>125</v>
      </c>
      <c r="AB38" s="2" t="n">
        <v>0</v>
      </c>
      <c r="AC38" s="2" t="s">
        <v>33</v>
      </c>
    </row>
    <row r="39" customFormat="false" ht="23.85" hidden="false" customHeight="false" outlineLevel="0" collapsed="false">
      <c r="A39" s="2" t="n">
        <v>38</v>
      </c>
      <c r="B39" s="2" t="s">
        <v>238</v>
      </c>
      <c r="C39" s="2" t="s">
        <v>63</v>
      </c>
      <c r="D39" s="2" t="n">
        <v>8</v>
      </c>
      <c r="E39" s="3" t="n">
        <v>0.12</v>
      </c>
      <c r="F39" s="3" t="n">
        <v>0.22</v>
      </c>
      <c r="G39" s="3" t="n">
        <f aca="false">Z39/(Z39+AA39+AB39)</f>
        <v>0.205</v>
      </c>
      <c r="H39" s="4" t="n">
        <f aca="false">IF(G39&gt;=1,1,INDEX(Summary!$B$42:$B$51,MATCH(G39,Summary!$A$42:$A$51,1))+(G39-INDEX(Summary!$A$42:$A$51,MATCH(G39,Summary!$A$42:$A$51,1)))*(INDEX(Summary!$B$42:$B$51,MATCH(G39,Summary!$A$42:$A$51,1)+1)-INDEX(Summary!$B$42:$B$51,MATCH(G39,Summary!$A$42:$A$51,1)))/(INDEX(Summary!$A$42:$A$51,MATCH(G39,Summary!$A$42:$A$51,1)+1)-INDEX(Summary!$A$42:$A$51,MATCH(G39,Summary!$A$42:$A$51,1))))</f>
        <v>7.5</v>
      </c>
      <c r="I39" s="5" t="b">
        <f aca="false">AND(G39&gt;=E39,G39&lt;=F39)</f>
        <v>1</v>
      </c>
      <c r="J39" s="6" t="s">
        <v>239</v>
      </c>
      <c r="K39" s="2" t="n">
        <v>5</v>
      </c>
      <c r="L39" s="2" t="n">
        <v>8</v>
      </c>
      <c r="M39" s="2" t="n">
        <v>280</v>
      </c>
      <c r="N39" s="6" t="s">
        <v>240</v>
      </c>
      <c r="O39" s="2" t="n">
        <v>16</v>
      </c>
      <c r="P39" s="2" t="n">
        <v>16</v>
      </c>
      <c r="Q39" s="2" t="n">
        <v>6</v>
      </c>
      <c r="R39" s="2" t="n">
        <v>6</v>
      </c>
      <c r="S39" s="2" t="n">
        <f aca="false">SUM(O39:R39)</f>
        <v>44</v>
      </c>
      <c r="T39" s="6" t="s">
        <v>241</v>
      </c>
      <c r="U39" s="2" t="s">
        <v>33</v>
      </c>
      <c r="V39" s="6" t="s">
        <v>151</v>
      </c>
      <c r="W39" s="6" t="s">
        <v>242</v>
      </c>
      <c r="X39" s="2" t="n">
        <v>210.7</v>
      </c>
      <c r="Y39" s="4" t="n">
        <f aca="false">X39/2</f>
        <v>105.35</v>
      </c>
      <c r="Z39" s="2" t="n">
        <v>41</v>
      </c>
      <c r="AA39" s="2" t="n">
        <v>141</v>
      </c>
      <c r="AB39" s="2" t="n">
        <v>18</v>
      </c>
      <c r="AC39" s="2" t="s">
        <v>33</v>
      </c>
    </row>
    <row r="40" customFormat="false" ht="23.85" hidden="false" customHeight="false" outlineLevel="0" collapsed="false">
      <c r="A40" s="2" t="n">
        <v>39</v>
      </c>
      <c r="B40" s="2" t="s">
        <v>243</v>
      </c>
      <c r="C40" s="2" t="s">
        <v>57</v>
      </c>
      <c r="D40" s="2" t="n">
        <v>5</v>
      </c>
      <c r="E40" s="3" t="n">
        <v>0.35</v>
      </c>
      <c r="F40" s="3" t="n">
        <v>0.5</v>
      </c>
      <c r="G40" s="3" t="n">
        <f aca="false">Z40/(Z40+AA40+AB40)</f>
        <v>0.665</v>
      </c>
      <c r="H40" s="4" t="n">
        <f aca="false">IF(G40&gt;=1,1,INDEX(Summary!$B$42:$B$51,MATCH(G40,Summary!$A$42:$A$51,1))+(G40-INDEX(Summary!$A$42:$A$51,MATCH(G40,Summary!$A$42:$A$51,1)))*(INDEX(Summary!$B$42:$B$51,MATCH(G40,Summary!$A$42:$A$51,1)+1)-INDEX(Summary!$B$42:$B$51,MATCH(G40,Summary!$A$42:$A$51,1)))/(INDEX(Summary!$A$42:$A$51,MATCH(G40,Summary!$A$42:$A$51,1)+1)-INDEX(Summary!$A$42:$A$51,MATCH(G40,Summary!$A$42:$A$51,1))))</f>
        <v>2.925</v>
      </c>
      <c r="I40" s="5" t="b">
        <f aca="false">AND(G40&gt;=E40,G40&lt;=F40)</f>
        <v>0</v>
      </c>
      <c r="J40" s="6" t="s">
        <v>244</v>
      </c>
      <c r="K40" s="2" t="n">
        <v>4</v>
      </c>
      <c r="L40" s="2" t="n">
        <v>7</v>
      </c>
      <c r="M40" s="2" t="n">
        <v>264</v>
      </c>
      <c r="N40" s="6" t="s">
        <v>245</v>
      </c>
      <c r="O40" s="2" t="n">
        <v>0</v>
      </c>
      <c r="P40" s="2" t="n">
        <v>0</v>
      </c>
      <c r="Q40" s="2" t="n">
        <v>15</v>
      </c>
      <c r="R40" s="2" t="n">
        <v>12</v>
      </c>
      <c r="S40" s="2" t="n">
        <f aca="false">SUM(O40:R40)</f>
        <v>27</v>
      </c>
      <c r="T40" s="6" t="s">
        <v>246</v>
      </c>
      <c r="U40" s="2" t="s">
        <v>33</v>
      </c>
      <c r="V40" s="2" t="s">
        <v>247</v>
      </c>
      <c r="W40" s="6" t="s">
        <v>248</v>
      </c>
      <c r="X40" s="2" t="n">
        <v>114.8</v>
      </c>
      <c r="Y40" s="4" t="n">
        <f aca="false">X40/2</f>
        <v>57.4</v>
      </c>
      <c r="Z40" s="2" t="n">
        <v>133</v>
      </c>
      <c r="AA40" s="2" t="n">
        <v>67</v>
      </c>
      <c r="AB40" s="2" t="n">
        <v>0</v>
      </c>
      <c r="AC40" s="2" t="s">
        <v>33</v>
      </c>
    </row>
    <row r="41" customFormat="false" ht="23.85" hidden="false" customHeight="false" outlineLevel="0" collapsed="false">
      <c r="A41" s="2" t="n">
        <v>40</v>
      </c>
      <c r="B41" s="2" t="s">
        <v>249</v>
      </c>
      <c r="C41" s="2" t="s">
        <v>250</v>
      </c>
      <c r="D41" s="2" t="n">
        <v>9</v>
      </c>
      <c r="E41" s="3" t="n">
        <v>0.08</v>
      </c>
      <c r="F41" s="3" t="n">
        <v>0.15</v>
      </c>
      <c r="G41" s="3" t="n">
        <f aca="false">Z41/(Z41+AA41+AB41)</f>
        <v>0.145</v>
      </c>
      <c r="H41" s="4" t="n">
        <f aca="false">IF(G41&gt;=1,1,INDEX(Summary!$B$42:$B$51,MATCH(G41,Summary!$A$42:$A$51,1))+(G41-INDEX(Summary!$A$42:$A$51,MATCH(G41,Summary!$A$42:$A$51,1)))*(INDEX(Summary!$B$42:$B$51,MATCH(G41,Summary!$A$42:$A$51,1)+1)-INDEX(Summary!$B$42:$B$51,MATCH(G41,Summary!$A$42:$A$51,1)))/(INDEX(Summary!$A$42:$A$51,MATCH(G41,Summary!$A$42:$A$51,1)+1)-INDEX(Summary!$A$42:$A$51,MATCH(G41,Summary!$A$42:$A$51,1))))</f>
        <v>8.45454545454546</v>
      </c>
      <c r="I41" s="5" t="b">
        <f aca="false">AND(G41&gt;=E41,G41&lt;=F41)</f>
        <v>1</v>
      </c>
      <c r="J41" s="6" t="s">
        <v>251</v>
      </c>
      <c r="K41" s="2" t="n">
        <v>6</v>
      </c>
      <c r="L41" s="2" t="n">
        <v>8</v>
      </c>
      <c r="M41" s="2" t="n">
        <v>320</v>
      </c>
      <c r="N41" s="6" t="s">
        <v>252</v>
      </c>
      <c r="O41" s="2" t="n">
        <v>17</v>
      </c>
      <c r="P41" s="2" t="n">
        <v>10</v>
      </c>
      <c r="Q41" s="2" t="n">
        <v>9</v>
      </c>
      <c r="R41" s="2" t="n">
        <v>10</v>
      </c>
      <c r="S41" s="2" t="n">
        <f aca="false">SUM(O41:R41)</f>
        <v>46</v>
      </c>
      <c r="T41" s="6" t="s">
        <v>253</v>
      </c>
      <c r="U41" s="2" t="s">
        <v>33</v>
      </c>
      <c r="V41" s="6" t="s">
        <v>254</v>
      </c>
      <c r="W41" s="6" t="s">
        <v>255</v>
      </c>
      <c r="X41" s="2" t="n">
        <v>232.7</v>
      </c>
      <c r="Y41" s="4" t="n">
        <f aca="false">X41/2</f>
        <v>116.35</v>
      </c>
      <c r="Z41" s="2" t="n">
        <v>29</v>
      </c>
      <c r="AA41" s="2" t="n">
        <v>143</v>
      </c>
      <c r="AB41" s="2" t="n">
        <v>28</v>
      </c>
      <c r="AC41" s="6" t="s">
        <v>256</v>
      </c>
    </row>
    <row r="42" customFormat="false" ht="15" hidden="false" customHeight="false" outlineLevel="0" collapsed="false">
      <c r="A42" s="7" t="s">
        <v>257</v>
      </c>
      <c r="I42" s="7" t="str">
        <f aca="false">COUNTIF(I2:I41,TRUE())&amp;" / 40"</f>
        <v>23 / 40</v>
      </c>
      <c r="M42" s="8" t="n">
        <f aca="false">SUM(M2:M41)</f>
        <v>5892</v>
      </c>
      <c r="S42" s="8" t="n">
        <f aca="false">SUM(S2:S41)</f>
        <v>765</v>
      </c>
      <c r="X42" s="9" t="n">
        <f aca="false">SUM(X2:X41)</f>
        <v>4375.9</v>
      </c>
      <c r="Y42" s="9" t="n">
        <f aca="false">SUM(Y2:Y41)</f>
        <v>2187.95</v>
      </c>
      <c r="Z42" s="8" t="n">
        <f aca="false">SUM(Z2:Z41)</f>
        <v>5187</v>
      </c>
      <c r="AA42" s="8" t="n">
        <f aca="false">SUM(AA2:AA41)</f>
        <v>1567</v>
      </c>
      <c r="AB42" s="8" t="n">
        <f aca="false">SUM(AB2:AB41)</f>
        <v>1246</v>
      </c>
    </row>
    <row r="44" customFormat="false" ht="15" hidden="false" customHeight="false" outlineLevel="0" collapsed="false">
      <c r="A44" s="10" t="s">
        <v>258</v>
      </c>
    </row>
    <row r="45" customFormat="false" ht="15" hidden="false" customHeight="false" outlineLevel="0" collapsed="false">
      <c r="A45" s="10" t="s">
        <v>259</v>
      </c>
    </row>
    <row r="46" customFormat="false" ht="15" hidden="false" customHeight="false" outlineLevel="0" collapsed="false">
      <c r="A46" s="10" t="s">
        <v>260</v>
      </c>
    </row>
    <row r="47" customFormat="false" ht="15" hidden="false" customHeight="false" outlineLevel="0" collapsed="false">
      <c r="A47" s="10" t="s">
        <v>261</v>
      </c>
    </row>
    <row r="48" customFormat="false" ht="15" hidden="false" customHeight="false" outlineLevel="0" collapsed="false">
      <c r="A48" s="10" t="s">
        <v>262</v>
      </c>
    </row>
    <row r="49" customFormat="false" ht="15" hidden="false" customHeight="false" outlineLevel="0" collapsed="false">
      <c r="A49" s="10" t="s">
        <v>263</v>
      </c>
    </row>
  </sheetData>
  <conditionalFormatting sqref="I2:I41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1" t="s">
        <v>0</v>
      </c>
      <c r="B1" s="11" t="s">
        <v>3</v>
      </c>
      <c r="C1" s="11" t="s">
        <v>7</v>
      </c>
      <c r="D1" s="11" t="s">
        <v>12</v>
      </c>
    </row>
    <row r="2" customFormat="false" ht="15" hidden="false" customHeight="false" outlineLevel="0" collapsed="false">
      <c r="A2" s="12" t="n">
        <f aca="false">Funnel!A2</f>
        <v>1</v>
      </c>
      <c r="B2" s="12" t="n">
        <f aca="false">Funnel!D2</f>
        <v>1</v>
      </c>
      <c r="C2" s="13" t="n">
        <f aca="false">Funnel!H2</f>
        <v>1</v>
      </c>
      <c r="D2" s="12" t="n">
        <f aca="false">Funnel!M2</f>
        <v>16</v>
      </c>
    </row>
    <row r="3" customFormat="false" ht="15" hidden="false" customHeight="false" outlineLevel="0" collapsed="false">
      <c r="A3" s="12" t="n">
        <f aca="false">Funnel!A3</f>
        <v>2</v>
      </c>
      <c r="B3" s="12" t="n">
        <f aca="false">Funnel!D3</f>
        <v>2</v>
      </c>
      <c r="C3" s="13" t="n">
        <f aca="false">Funnel!H3</f>
        <v>1</v>
      </c>
      <c r="D3" s="12" t="n">
        <f aca="false">Funnel!M3</f>
        <v>32</v>
      </c>
    </row>
    <row r="4" customFormat="false" ht="15" hidden="false" customHeight="false" outlineLevel="0" collapsed="false">
      <c r="A4" s="12" t="n">
        <f aca="false">Funnel!A4</f>
        <v>3</v>
      </c>
      <c r="B4" s="12" t="n">
        <f aca="false">Funnel!D4</f>
        <v>2</v>
      </c>
      <c r="C4" s="13" t="n">
        <f aca="false">Funnel!H4</f>
        <v>1</v>
      </c>
      <c r="D4" s="12" t="n">
        <f aca="false">Funnel!M4</f>
        <v>40</v>
      </c>
    </row>
    <row r="5" customFormat="false" ht="15" hidden="false" customHeight="false" outlineLevel="0" collapsed="false">
      <c r="A5" s="12" t="n">
        <f aca="false">Funnel!A5</f>
        <v>4</v>
      </c>
      <c r="B5" s="12" t="n">
        <f aca="false">Funnel!D5</f>
        <v>3</v>
      </c>
      <c r="C5" s="13" t="n">
        <f aca="false">Funnel!H5</f>
        <v>1</v>
      </c>
      <c r="D5" s="12" t="n">
        <f aca="false">Funnel!M5</f>
        <v>52</v>
      </c>
    </row>
    <row r="6" customFormat="false" ht="15" hidden="false" customHeight="false" outlineLevel="0" collapsed="false">
      <c r="A6" s="12" t="n">
        <f aca="false">Funnel!A6</f>
        <v>5</v>
      </c>
      <c r="B6" s="12" t="n">
        <f aca="false">Funnel!D6</f>
        <v>2</v>
      </c>
      <c r="C6" s="13" t="n">
        <f aca="false">Funnel!H6</f>
        <v>1</v>
      </c>
      <c r="D6" s="12" t="n">
        <f aca="false">Funnel!M6</f>
        <v>64</v>
      </c>
    </row>
    <row r="7" customFormat="false" ht="15" hidden="false" customHeight="false" outlineLevel="0" collapsed="false">
      <c r="A7" s="12" t="n">
        <f aca="false">Funnel!A7</f>
        <v>6</v>
      </c>
      <c r="B7" s="12" t="n">
        <f aca="false">Funnel!D7</f>
        <v>5</v>
      </c>
      <c r="C7" s="13" t="n">
        <f aca="false">Funnel!H7</f>
        <v>1</v>
      </c>
      <c r="D7" s="12" t="n">
        <f aca="false">Funnel!M7</f>
        <v>72</v>
      </c>
    </row>
    <row r="8" customFormat="false" ht="15" hidden="false" customHeight="false" outlineLevel="0" collapsed="false">
      <c r="A8" s="12" t="n">
        <f aca="false">Funnel!A8</f>
        <v>7</v>
      </c>
      <c r="B8" s="12" t="n">
        <f aca="false">Funnel!D8</f>
        <v>3</v>
      </c>
      <c r="C8" s="13" t="n">
        <f aca="false">Funnel!H8</f>
        <v>1</v>
      </c>
      <c r="D8" s="12" t="n">
        <f aca="false">Funnel!M8</f>
        <v>64</v>
      </c>
    </row>
    <row r="9" customFormat="false" ht="15" hidden="false" customHeight="false" outlineLevel="0" collapsed="false">
      <c r="A9" s="12" t="n">
        <f aca="false">Funnel!A9</f>
        <v>8</v>
      </c>
      <c r="B9" s="12" t="n">
        <f aca="false">Funnel!D9</f>
        <v>4</v>
      </c>
      <c r="C9" s="13" t="n">
        <f aca="false">Funnel!H9</f>
        <v>1.36666666666667</v>
      </c>
      <c r="D9" s="12" t="n">
        <f aca="false">Funnel!M9</f>
        <v>84</v>
      </c>
    </row>
    <row r="10" customFormat="false" ht="15" hidden="false" customHeight="false" outlineLevel="0" collapsed="false">
      <c r="A10" s="12" t="n">
        <f aca="false">Funnel!A10</f>
        <v>9</v>
      </c>
      <c r="B10" s="12" t="n">
        <f aca="false">Funnel!D10</f>
        <v>3</v>
      </c>
      <c r="C10" s="13" t="n">
        <f aca="false">Funnel!H10</f>
        <v>1.16666666666667</v>
      </c>
      <c r="D10" s="12" t="n">
        <f aca="false">Funnel!M10</f>
        <v>76</v>
      </c>
    </row>
    <row r="11" customFormat="false" ht="15" hidden="false" customHeight="false" outlineLevel="0" collapsed="false">
      <c r="A11" s="12" t="n">
        <f aca="false">Funnel!A11</f>
        <v>10</v>
      </c>
      <c r="B11" s="12" t="n">
        <f aca="false">Funnel!D11</f>
        <v>6</v>
      </c>
      <c r="C11" s="13" t="n">
        <f aca="false">Funnel!H11</f>
        <v>2.4</v>
      </c>
      <c r="D11" s="12" t="n">
        <f aca="false">Funnel!M11</f>
        <v>104</v>
      </c>
    </row>
    <row r="12" customFormat="false" ht="15" hidden="false" customHeight="false" outlineLevel="0" collapsed="false">
      <c r="A12" s="12" t="n">
        <f aca="false">Funnel!A12</f>
        <v>11</v>
      </c>
      <c r="B12" s="12" t="n">
        <f aca="false">Funnel!D12</f>
        <v>3</v>
      </c>
      <c r="C12" s="13" t="n">
        <f aca="false">Funnel!H12</f>
        <v>2.6</v>
      </c>
      <c r="D12" s="12" t="n">
        <f aca="false">Funnel!M12</f>
        <v>84</v>
      </c>
    </row>
    <row r="13" customFormat="false" ht="15" hidden="false" customHeight="false" outlineLevel="0" collapsed="false">
      <c r="A13" s="12" t="n">
        <f aca="false">Funnel!A13</f>
        <v>12</v>
      </c>
      <c r="B13" s="12" t="n">
        <f aca="false">Funnel!D13</f>
        <v>5</v>
      </c>
      <c r="C13" s="13" t="n">
        <f aca="false">Funnel!H13</f>
        <v>1</v>
      </c>
      <c r="D13" s="12" t="n">
        <f aca="false">Funnel!M13</f>
        <v>112</v>
      </c>
    </row>
    <row r="14" customFormat="false" ht="15" hidden="false" customHeight="false" outlineLevel="0" collapsed="false">
      <c r="A14" s="12" t="n">
        <f aca="false">Funnel!A14</f>
        <v>13</v>
      </c>
      <c r="B14" s="12" t="n">
        <f aca="false">Funnel!D14</f>
        <v>3</v>
      </c>
      <c r="C14" s="13" t="n">
        <f aca="false">Funnel!H14</f>
        <v>3.08</v>
      </c>
      <c r="D14" s="12" t="n">
        <f aca="false">Funnel!M14</f>
        <v>96</v>
      </c>
    </row>
    <row r="15" customFormat="false" ht="15" hidden="false" customHeight="false" outlineLevel="0" collapsed="false">
      <c r="A15" s="12" t="n">
        <f aca="false">Funnel!A15</f>
        <v>14</v>
      </c>
      <c r="B15" s="12" t="n">
        <f aca="false">Funnel!D15</f>
        <v>5</v>
      </c>
      <c r="C15" s="13" t="n">
        <f aca="false">Funnel!H15</f>
        <v>5.1</v>
      </c>
      <c r="D15" s="12" t="n">
        <f aca="false">Funnel!M15</f>
        <v>120</v>
      </c>
    </row>
    <row r="16" customFormat="false" ht="15" hidden="false" customHeight="false" outlineLevel="0" collapsed="false">
      <c r="A16" s="12" t="n">
        <f aca="false">Funnel!A16</f>
        <v>15</v>
      </c>
      <c r="B16" s="12" t="n">
        <f aca="false">Funnel!D16</f>
        <v>3</v>
      </c>
      <c r="C16" s="13" t="n">
        <f aca="false">Funnel!H16</f>
        <v>1</v>
      </c>
      <c r="D16" s="12" t="n">
        <f aca="false">Funnel!M16</f>
        <v>128</v>
      </c>
    </row>
    <row r="17" customFormat="false" ht="15" hidden="false" customHeight="false" outlineLevel="0" collapsed="false">
      <c r="A17" s="12" t="n">
        <f aca="false">Funnel!A17</f>
        <v>16</v>
      </c>
      <c r="B17" s="12" t="n">
        <f aca="false">Funnel!D17</f>
        <v>7</v>
      </c>
      <c r="C17" s="13" t="n">
        <f aca="false">Funnel!H17</f>
        <v>6.47058823529412</v>
      </c>
      <c r="D17" s="12" t="n">
        <f aca="false">Funnel!M17</f>
        <v>144</v>
      </c>
    </row>
    <row r="18" customFormat="false" ht="15" hidden="false" customHeight="false" outlineLevel="0" collapsed="false">
      <c r="A18" s="12" t="n">
        <f aca="false">Funnel!A18</f>
        <v>17</v>
      </c>
      <c r="B18" s="12" t="n">
        <f aca="false">Funnel!D18</f>
        <v>4</v>
      </c>
      <c r="C18" s="13" t="n">
        <f aca="false">Funnel!H18</f>
        <v>4.6</v>
      </c>
      <c r="D18" s="12" t="n">
        <f aca="false">Funnel!M18</f>
        <v>120</v>
      </c>
    </row>
    <row r="19" customFormat="false" ht="15" hidden="false" customHeight="false" outlineLevel="0" collapsed="false">
      <c r="A19" s="12" t="n">
        <f aca="false">Funnel!A19</f>
        <v>18</v>
      </c>
      <c r="B19" s="12" t="n">
        <f aca="false">Funnel!D19</f>
        <v>3</v>
      </c>
      <c r="C19" s="13" t="n">
        <f aca="false">Funnel!H19</f>
        <v>1</v>
      </c>
      <c r="D19" s="12" t="n">
        <f aca="false">Funnel!M19</f>
        <v>112</v>
      </c>
    </row>
    <row r="20" customFormat="false" ht="15" hidden="false" customHeight="false" outlineLevel="0" collapsed="false">
      <c r="A20" s="12" t="n">
        <f aca="false">Funnel!A20</f>
        <v>19</v>
      </c>
      <c r="B20" s="12" t="n">
        <f aca="false">Funnel!D20</f>
        <v>5</v>
      </c>
      <c r="C20" s="13" t="n">
        <f aca="false">Funnel!H20</f>
        <v>5.05</v>
      </c>
      <c r="D20" s="12" t="n">
        <f aca="false">Funnel!M20</f>
        <v>152</v>
      </c>
    </row>
    <row r="21" customFormat="false" ht="15" hidden="false" customHeight="false" outlineLevel="0" collapsed="false">
      <c r="A21" s="12" t="n">
        <f aca="false">Funnel!A21</f>
        <v>20</v>
      </c>
      <c r="B21" s="12" t="n">
        <f aca="false">Funnel!D21</f>
        <v>8</v>
      </c>
      <c r="C21" s="13" t="n">
        <f aca="false">Funnel!H21</f>
        <v>7.42857142857143</v>
      </c>
      <c r="D21" s="12" t="n">
        <f aca="false">Funnel!M21</f>
        <v>176</v>
      </c>
    </row>
    <row r="22" customFormat="false" ht="15" hidden="false" customHeight="false" outlineLevel="0" collapsed="false">
      <c r="A22" s="12" t="n">
        <f aca="false">Funnel!A22</f>
        <v>21</v>
      </c>
      <c r="B22" s="12" t="n">
        <f aca="false">Funnel!D22</f>
        <v>5</v>
      </c>
      <c r="C22" s="13" t="n">
        <f aca="false">Funnel!H22</f>
        <v>5.25</v>
      </c>
      <c r="D22" s="12" t="n">
        <f aca="false">Funnel!M22</f>
        <v>140</v>
      </c>
    </row>
    <row r="23" customFormat="false" ht="15" hidden="false" customHeight="false" outlineLevel="0" collapsed="false">
      <c r="A23" s="12" t="n">
        <f aca="false">Funnel!A23</f>
        <v>22</v>
      </c>
      <c r="B23" s="12" t="n">
        <f aca="false">Funnel!D23</f>
        <v>3</v>
      </c>
      <c r="C23" s="13" t="n">
        <f aca="false">Funnel!H23</f>
        <v>2.25</v>
      </c>
      <c r="D23" s="12" t="n">
        <f aca="false">Funnel!M23</f>
        <v>128</v>
      </c>
    </row>
    <row r="24" customFormat="false" ht="15" hidden="false" customHeight="false" outlineLevel="0" collapsed="false">
      <c r="A24" s="12" t="n">
        <f aca="false">Funnel!A24</f>
        <v>23</v>
      </c>
      <c r="B24" s="12" t="n">
        <f aca="false">Funnel!D24</f>
        <v>6</v>
      </c>
      <c r="C24" s="13" t="n">
        <f aca="false">Funnel!H24</f>
        <v>5.5</v>
      </c>
      <c r="D24" s="12" t="n">
        <f aca="false">Funnel!M24</f>
        <v>168</v>
      </c>
    </row>
    <row r="25" customFormat="false" ht="15" hidden="false" customHeight="false" outlineLevel="0" collapsed="false">
      <c r="A25" s="12" t="n">
        <f aca="false">Funnel!A25</f>
        <v>24</v>
      </c>
      <c r="B25" s="12" t="n">
        <f aca="false">Funnel!D25</f>
        <v>4</v>
      </c>
      <c r="C25" s="13" t="n">
        <f aca="false">Funnel!H25</f>
        <v>1</v>
      </c>
      <c r="D25" s="12" t="n">
        <f aca="false">Funnel!M25</f>
        <v>192</v>
      </c>
    </row>
    <row r="26" customFormat="false" ht="15" hidden="false" customHeight="false" outlineLevel="0" collapsed="false">
      <c r="A26" s="12" t="n">
        <f aca="false">Funnel!A26</f>
        <v>25</v>
      </c>
      <c r="B26" s="12" t="n">
        <f aca="false">Funnel!D26</f>
        <v>8</v>
      </c>
      <c r="C26" s="13" t="n">
        <f aca="false">Funnel!H26</f>
        <v>7.5</v>
      </c>
      <c r="D26" s="12" t="n">
        <f aca="false">Funnel!M26</f>
        <v>192</v>
      </c>
    </row>
    <row r="27" customFormat="false" ht="15" hidden="false" customHeight="false" outlineLevel="0" collapsed="false">
      <c r="A27" s="12" t="n">
        <f aca="false">Funnel!A27</f>
        <v>26</v>
      </c>
      <c r="B27" s="12" t="n">
        <f aca="false">Funnel!D27</f>
        <v>3</v>
      </c>
      <c r="C27" s="13" t="n">
        <f aca="false">Funnel!H27</f>
        <v>2.75</v>
      </c>
      <c r="D27" s="12" t="n">
        <f aca="false">Funnel!M27</f>
        <v>144</v>
      </c>
    </row>
    <row r="28" customFormat="false" ht="15" hidden="false" customHeight="false" outlineLevel="0" collapsed="false">
      <c r="A28" s="12" t="n">
        <f aca="false">Funnel!A28</f>
        <v>27</v>
      </c>
      <c r="B28" s="12" t="n">
        <f aca="false">Funnel!D28</f>
        <v>5</v>
      </c>
      <c r="C28" s="13" t="n">
        <f aca="false">Funnel!H28</f>
        <v>3</v>
      </c>
      <c r="D28" s="12" t="n">
        <f aca="false">Funnel!M28</f>
        <v>176</v>
      </c>
    </row>
    <row r="29" customFormat="false" ht="15" hidden="false" customHeight="false" outlineLevel="0" collapsed="false">
      <c r="A29" s="12" t="n">
        <f aca="false">Funnel!A29</f>
        <v>28</v>
      </c>
      <c r="B29" s="12" t="n">
        <f aca="false">Funnel!D29</f>
        <v>3</v>
      </c>
      <c r="C29" s="13" t="n">
        <f aca="false">Funnel!H29</f>
        <v>1.9</v>
      </c>
      <c r="D29" s="12" t="n">
        <f aca="false">Funnel!M29</f>
        <v>152</v>
      </c>
    </row>
    <row r="30" customFormat="false" ht="15" hidden="false" customHeight="false" outlineLevel="0" collapsed="false">
      <c r="A30" s="12" t="n">
        <f aca="false">Funnel!A30</f>
        <v>29</v>
      </c>
      <c r="B30" s="12" t="n">
        <f aca="false">Funnel!D30</f>
        <v>6</v>
      </c>
      <c r="C30" s="13" t="n">
        <f aca="false">Funnel!H30</f>
        <v>6.35294117647059</v>
      </c>
      <c r="D30" s="12" t="n">
        <f aca="false">Funnel!M30</f>
        <v>208</v>
      </c>
    </row>
    <row r="31" customFormat="false" ht="15" hidden="false" customHeight="false" outlineLevel="0" collapsed="false">
      <c r="A31" s="12" t="n">
        <f aca="false">Funnel!A31</f>
        <v>30</v>
      </c>
      <c r="B31" s="12" t="n">
        <f aca="false">Funnel!D31</f>
        <v>9</v>
      </c>
      <c r="C31" s="13" t="n">
        <f aca="false">Funnel!H31</f>
        <v>8.36363636363636</v>
      </c>
      <c r="D31" s="12" t="n">
        <f aca="false">Funnel!M31</f>
        <v>240</v>
      </c>
    </row>
    <row r="32" customFormat="false" ht="15" hidden="false" customHeight="false" outlineLevel="0" collapsed="false">
      <c r="A32" s="12" t="n">
        <f aca="false">Funnel!A32</f>
        <v>31</v>
      </c>
      <c r="B32" s="12" t="n">
        <f aca="false">Funnel!D32</f>
        <v>3</v>
      </c>
      <c r="C32" s="13" t="n">
        <f aca="false">Funnel!H32</f>
        <v>2.05</v>
      </c>
      <c r="D32" s="12" t="n">
        <f aca="false">Funnel!M32</f>
        <v>160</v>
      </c>
    </row>
    <row r="33" customFormat="false" ht="15" hidden="false" customHeight="false" outlineLevel="0" collapsed="false">
      <c r="A33" s="12" t="n">
        <f aca="false">Funnel!A33</f>
        <v>32</v>
      </c>
      <c r="B33" s="12" t="n">
        <f aca="false">Funnel!D33</f>
        <v>4</v>
      </c>
      <c r="C33" s="13" t="n">
        <f aca="false">Funnel!H33</f>
        <v>4.7</v>
      </c>
      <c r="D33" s="12" t="n">
        <f aca="false">Funnel!M33</f>
        <v>168</v>
      </c>
    </row>
    <row r="34" customFormat="false" ht="15" hidden="false" customHeight="false" outlineLevel="0" collapsed="false">
      <c r="A34" s="12" t="n">
        <f aca="false">Funnel!A34</f>
        <v>33</v>
      </c>
      <c r="B34" s="12" t="n">
        <f aca="false">Funnel!D34</f>
        <v>5</v>
      </c>
      <c r="C34" s="13" t="n">
        <f aca="false">Funnel!H34</f>
        <v>5.85</v>
      </c>
      <c r="D34" s="12" t="n">
        <f aca="false">Funnel!M34</f>
        <v>200</v>
      </c>
    </row>
    <row r="35" customFormat="false" ht="15" hidden="false" customHeight="false" outlineLevel="0" collapsed="false">
      <c r="A35" s="12" t="n">
        <f aca="false">Funnel!A35</f>
        <v>34</v>
      </c>
      <c r="B35" s="12" t="n">
        <f aca="false">Funnel!D35</f>
        <v>4</v>
      </c>
      <c r="C35" s="13" t="n">
        <f aca="false">Funnel!H35</f>
        <v>1.8</v>
      </c>
      <c r="D35" s="12" t="n">
        <f aca="false">Funnel!M35</f>
        <v>232</v>
      </c>
    </row>
    <row r="36" customFormat="false" ht="15" hidden="false" customHeight="false" outlineLevel="0" collapsed="false">
      <c r="A36" s="12" t="n">
        <f aca="false">Funnel!A36</f>
        <v>35</v>
      </c>
      <c r="B36" s="12" t="n">
        <f aca="false">Funnel!D36</f>
        <v>8</v>
      </c>
      <c r="C36" s="13" t="n">
        <f aca="false">Funnel!H36</f>
        <v>7.35714285714286</v>
      </c>
      <c r="D36" s="12" t="n">
        <f aca="false">Funnel!M36</f>
        <v>240</v>
      </c>
    </row>
    <row r="37" customFormat="false" ht="15" hidden="false" customHeight="false" outlineLevel="0" collapsed="false">
      <c r="A37" s="12" t="n">
        <f aca="false">Funnel!A37</f>
        <v>36</v>
      </c>
      <c r="B37" s="12" t="n">
        <f aca="false">Funnel!D37</f>
        <v>4</v>
      </c>
      <c r="C37" s="13" t="n">
        <f aca="false">Funnel!H37</f>
        <v>4.05</v>
      </c>
      <c r="D37" s="12" t="n">
        <f aca="false">Funnel!M37</f>
        <v>184</v>
      </c>
    </row>
    <row r="38" customFormat="false" ht="15" hidden="false" customHeight="false" outlineLevel="0" collapsed="false">
      <c r="A38" s="12" t="n">
        <f aca="false">Funnel!A38</f>
        <v>37</v>
      </c>
      <c r="B38" s="12" t="n">
        <f aca="false">Funnel!D38</f>
        <v>6</v>
      </c>
      <c r="C38" s="13" t="n">
        <f aca="false">Funnel!H38</f>
        <v>5.5</v>
      </c>
      <c r="D38" s="12" t="n">
        <f aca="false">Funnel!M38</f>
        <v>256</v>
      </c>
    </row>
    <row r="39" customFormat="false" ht="15" hidden="false" customHeight="false" outlineLevel="0" collapsed="false">
      <c r="A39" s="12" t="n">
        <f aca="false">Funnel!A39</f>
        <v>38</v>
      </c>
      <c r="B39" s="12" t="n">
        <f aca="false">Funnel!D39</f>
        <v>8</v>
      </c>
      <c r="C39" s="13" t="n">
        <f aca="false">Funnel!H39</f>
        <v>7.5</v>
      </c>
      <c r="D39" s="12" t="n">
        <f aca="false">Funnel!M39</f>
        <v>280</v>
      </c>
    </row>
    <row r="40" customFormat="false" ht="15" hidden="false" customHeight="false" outlineLevel="0" collapsed="false">
      <c r="A40" s="12" t="n">
        <f aca="false">Funnel!A40</f>
        <v>39</v>
      </c>
      <c r="B40" s="12" t="n">
        <f aca="false">Funnel!D40</f>
        <v>5</v>
      </c>
      <c r="C40" s="13" t="n">
        <f aca="false">Funnel!H40</f>
        <v>2.925</v>
      </c>
      <c r="D40" s="12" t="n">
        <f aca="false">Funnel!M40</f>
        <v>264</v>
      </c>
    </row>
    <row r="41" customFormat="false" ht="15" hidden="false" customHeight="false" outlineLevel="0" collapsed="false">
      <c r="A41" s="12" t="n">
        <f aca="false">Funnel!A41</f>
        <v>40</v>
      </c>
      <c r="B41" s="12" t="n">
        <f aca="false">Funnel!D41</f>
        <v>9</v>
      </c>
      <c r="C41" s="13" t="n">
        <f aca="false">Funnel!H41</f>
        <v>8.45454545454546</v>
      </c>
      <c r="D41" s="12" t="n">
        <f aca="false">Funnel!M41</f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4" t="s">
        <v>264</v>
      </c>
    </row>
    <row r="3" customFormat="false" ht="15" hidden="false" customHeight="false" outlineLevel="0" collapsed="false">
      <c r="A3" s="11" t="s">
        <v>265</v>
      </c>
      <c r="B3" s="11" t="s">
        <v>266</v>
      </c>
      <c r="C3" s="11" t="s">
        <v>267</v>
      </c>
      <c r="D3" s="11" t="s">
        <v>268</v>
      </c>
    </row>
    <row r="4" customFormat="false" ht="15" hidden="false" customHeight="false" outlineLevel="0" collapsed="false">
      <c r="A4" s="12" t="s">
        <v>269</v>
      </c>
      <c r="B4" s="15" t="n">
        <f aca="false">SUM(Funnel!X2:X41)</f>
        <v>4375.9</v>
      </c>
      <c r="C4" s="13" t="n">
        <f aca="false">B4/60</f>
        <v>72.9316666666667</v>
      </c>
      <c r="D4" s="12" t="s">
        <v>270</v>
      </c>
    </row>
    <row r="5" customFormat="false" ht="15" hidden="false" customHeight="false" outlineLevel="0" collapsed="false">
      <c r="A5" s="12" t="s">
        <v>271</v>
      </c>
      <c r="B5" s="15" t="n">
        <f aca="false">SUM(Funnel!Y2:Y41)</f>
        <v>2187.95</v>
      </c>
      <c r="C5" s="13" t="n">
        <f aca="false">B5/60</f>
        <v>36.4658333333333</v>
      </c>
      <c r="D5" s="12" t="s">
        <v>272</v>
      </c>
    </row>
    <row r="6" customFormat="false" ht="15" hidden="false" customHeight="false" outlineLevel="0" collapsed="false">
      <c r="A6" s="12" t="s">
        <v>273</v>
      </c>
      <c r="B6" s="16" t="b">
        <f aca="false">C5&gt;=35</f>
        <v>1</v>
      </c>
      <c r="C6" s="12"/>
      <c r="D6" s="12"/>
    </row>
    <row r="8" customFormat="false" ht="15" hidden="false" customHeight="false" outlineLevel="0" collapsed="false">
      <c r="A8" s="11" t="s">
        <v>274</v>
      </c>
      <c r="B8" s="11" t="s">
        <v>266</v>
      </c>
      <c r="C8" s="11" t="s">
        <v>267</v>
      </c>
      <c r="D8" s="11" t="s">
        <v>268</v>
      </c>
    </row>
    <row r="9" customFormat="false" ht="15" hidden="false" customHeight="false" outlineLevel="0" collapsed="false">
      <c r="A9" s="12" t="s">
        <v>275</v>
      </c>
      <c r="B9" s="15" t="n">
        <f aca="false">SUM(Funnel!X2:X13)</f>
        <v>651.2</v>
      </c>
      <c r="C9" s="13" t="n">
        <f aca="false">B9/60</f>
        <v>10.8533333333333</v>
      </c>
      <c r="D9" s="12" t="s">
        <v>276</v>
      </c>
    </row>
    <row r="10" customFormat="false" ht="15" hidden="false" customHeight="false" outlineLevel="0" collapsed="false">
      <c r="A10" s="12" t="s">
        <v>277</v>
      </c>
      <c r="B10" s="15" t="n">
        <f aca="false">SUM(Funnel!Y2:Y13)</f>
        <v>325.6</v>
      </c>
      <c r="C10" s="13" t="n">
        <f aca="false">B10/60</f>
        <v>5.42666666666667</v>
      </c>
      <c r="D10" s="12"/>
    </row>
    <row r="11" customFormat="false" ht="15" hidden="false" customHeight="false" outlineLevel="0" collapsed="false">
      <c r="A11" s="12" t="s">
        <v>278</v>
      </c>
      <c r="B11" s="15" t="n">
        <f aca="false">B9*B12</f>
        <v>976.8</v>
      </c>
      <c r="C11" s="13" t="n">
        <f aca="false">B11/60</f>
        <v>16.28</v>
      </c>
      <c r="D11" s="12" t="s">
        <v>279</v>
      </c>
    </row>
    <row r="12" customFormat="false" ht="15" hidden="false" customHeight="false" outlineLevel="0" collapsed="false">
      <c r="A12" s="12" t="s">
        <v>280</v>
      </c>
      <c r="B12" s="17" t="n">
        <v>1.5</v>
      </c>
      <c r="C12" s="12"/>
      <c r="D12" s="12" t="s">
        <v>281</v>
      </c>
    </row>
    <row r="14" customFormat="false" ht="15" hidden="false" customHeight="false" outlineLevel="0" collapsed="false">
      <c r="A14" s="11" t="s">
        <v>282</v>
      </c>
      <c r="B14" s="11" t="s">
        <v>0</v>
      </c>
      <c r="C14" s="11"/>
      <c r="D14" s="11" t="s">
        <v>283</v>
      </c>
    </row>
    <row r="15" customFormat="false" ht="15" hidden="false" customHeight="false" outlineLevel="0" collapsed="false">
      <c r="A15" s="12" t="s">
        <v>284</v>
      </c>
      <c r="B15" s="12" t="n">
        <v>7</v>
      </c>
      <c r="C15" s="12"/>
      <c r="D15" s="12" t="s">
        <v>285</v>
      </c>
    </row>
    <row r="16" customFormat="false" ht="15" hidden="false" customHeight="false" outlineLevel="0" collapsed="false">
      <c r="A16" s="12" t="s">
        <v>286</v>
      </c>
      <c r="B16" s="12" t="n">
        <v>13</v>
      </c>
      <c r="C16" s="12"/>
      <c r="D16" s="12" t="s">
        <v>285</v>
      </c>
    </row>
    <row r="17" customFormat="false" ht="15" hidden="false" customHeight="false" outlineLevel="0" collapsed="false">
      <c r="A17" s="12" t="s">
        <v>287</v>
      </c>
      <c r="B17" s="12" t="n">
        <v>16</v>
      </c>
      <c r="C17" s="12"/>
      <c r="D17" s="12" t="s">
        <v>288</v>
      </c>
    </row>
    <row r="18" customFormat="false" ht="15" hidden="false" customHeight="false" outlineLevel="0" collapsed="false">
      <c r="A18" s="12" t="s">
        <v>289</v>
      </c>
      <c r="B18" s="12" t="n">
        <v>17</v>
      </c>
      <c r="C18" s="12"/>
      <c r="D18" s="12" t="s">
        <v>290</v>
      </c>
    </row>
    <row r="19" customFormat="false" ht="15" hidden="false" customHeight="false" outlineLevel="0" collapsed="false">
      <c r="A19" s="12" t="s">
        <v>291</v>
      </c>
      <c r="B19" s="12" t="n">
        <v>26</v>
      </c>
      <c r="C19" s="12"/>
      <c r="D19" s="12" t="s">
        <v>285</v>
      </c>
    </row>
    <row r="20" customFormat="false" ht="15" hidden="false" customHeight="false" outlineLevel="0" collapsed="false">
      <c r="A20" s="12" t="s">
        <v>292</v>
      </c>
      <c r="B20" s="12" t="n">
        <v>32</v>
      </c>
      <c r="C20" s="12"/>
      <c r="D20" s="12" t="s">
        <v>285</v>
      </c>
    </row>
    <row r="21" customFormat="false" ht="15" hidden="false" customHeight="false" outlineLevel="0" collapsed="false">
      <c r="A21" s="12" t="s">
        <v>293</v>
      </c>
      <c r="B21" s="12" t="n">
        <v>40</v>
      </c>
      <c r="C21" s="12"/>
      <c r="D21" s="12" t="s">
        <v>294</v>
      </c>
    </row>
    <row r="23" customFormat="false" ht="15" hidden="false" customHeight="false" outlineLevel="0" collapsed="false">
      <c r="A23" s="11" t="s">
        <v>295</v>
      </c>
      <c r="B23" s="11" t="s">
        <v>296</v>
      </c>
      <c r="C23" s="11"/>
      <c r="D23" s="11"/>
    </row>
    <row r="24" customFormat="false" ht="15" hidden="false" customHeight="false" outlineLevel="0" collapsed="false">
      <c r="A24" s="12" t="s">
        <v>30</v>
      </c>
      <c r="B24" s="12" t="n">
        <f aca="false">COUNTIF(Funnel!C2:C41,"Tutorial*")</f>
        <v>2</v>
      </c>
      <c r="C24" s="12"/>
      <c r="D24" s="12"/>
    </row>
    <row r="25" customFormat="false" ht="15" hidden="false" customHeight="false" outlineLevel="0" collapsed="false">
      <c r="A25" s="12" t="s">
        <v>38</v>
      </c>
      <c r="B25" s="12" t="n">
        <f aca="false">COUNTIF(Funnel!C2:C41,"Teach*")</f>
        <v>8</v>
      </c>
      <c r="C25" s="12"/>
      <c r="D25" s="12"/>
    </row>
    <row r="26" customFormat="false" ht="15" hidden="false" customHeight="false" outlineLevel="0" collapsed="false">
      <c r="A26" s="12" t="s">
        <v>77</v>
      </c>
      <c r="B26" s="12" t="n">
        <f aca="false">COUNTIF(Funnel!C2:C41,"Practice*")</f>
        <v>6</v>
      </c>
      <c r="C26" s="12"/>
      <c r="D26" s="12"/>
    </row>
    <row r="27" customFormat="false" ht="15" hidden="false" customHeight="false" outlineLevel="0" collapsed="false">
      <c r="A27" s="12" t="s">
        <v>57</v>
      </c>
      <c r="B27" s="12" t="n">
        <f aca="false">COUNTIF(Funnel!C2:C41,"Fun*")</f>
        <v>5</v>
      </c>
      <c r="C27" s="12"/>
      <c r="D27" s="12"/>
    </row>
    <row r="28" customFormat="false" ht="15" hidden="false" customHeight="false" outlineLevel="0" collapsed="false">
      <c r="A28" s="12" t="s">
        <v>84</v>
      </c>
      <c r="B28" s="12" t="n">
        <f aca="false">COUNTIF(Funnel!C2:C41,"Relax*")</f>
        <v>7</v>
      </c>
      <c r="C28" s="12"/>
      <c r="D28" s="12"/>
    </row>
    <row r="29" customFormat="false" ht="15" hidden="false" customHeight="false" outlineLevel="0" collapsed="false">
      <c r="A29" s="12" t="s">
        <v>63</v>
      </c>
      <c r="B29" s="12" t="n">
        <f aca="false">COUNTIF(Funnel!C2:C41,"Challenge*")</f>
        <v>8</v>
      </c>
      <c r="C29" s="12"/>
      <c r="D29" s="12"/>
    </row>
    <row r="30" customFormat="false" ht="15" hidden="false" customHeight="false" outlineLevel="0" collapsed="false">
      <c r="A30" s="12" t="s">
        <v>90</v>
      </c>
      <c r="B30" s="12" t="n">
        <f aca="false">COUNTIF(Funnel!C2:C41,"Milestone*")</f>
        <v>3</v>
      </c>
      <c r="C30" s="12"/>
      <c r="D30" s="12"/>
    </row>
    <row r="31" customFormat="false" ht="15" hidden="false" customHeight="false" outlineLevel="0" collapsed="false">
      <c r="A31" s="12" t="s">
        <v>250</v>
      </c>
      <c r="B31" s="12" t="n">
        <f aca="false">COUNTIF(Funnel!C2:C41,"Finale*")</f>
        <v>1</v>
      </c>
      <c r="C31" s="12"/>
      <c r="D31" s="12"/>
    </row>
    <row r="32" customFormat="false" ht="15" hidden="false" customHeight="false" outlineLevel="0" collapsed="false">
      <c r="A32" s="18" t="s">
        <v>257</v>
      </c>
      <c r="B32" s="18" t="n">
        <f aca="false">SUM(B24:B31)</f>
        <v>40</v>
      </c>
      <c r="C32" s="12"/>
      <c r="D32" s="12"/>
    </row>
    <row r="34" customFormat="false" ht="15" hidden="false" customHeight="false" outlineLevel="0" collapsed="false">
      <c r="A34" s="12" t="s">
        <v>297</v>
      </c>
      <c r="B34" s="12" t="n">
        <f aca="false">COUNTIF(Funnel!I2:I41,TRUE())</f>
        <v>23</v>
      </c>
      <c r="C34" s="12"/>
      <c r="D34" s="12" t="s">
        <v>298</v>
      </c>
    </row>
    <row r="40" customFormat="false" ht="15" hidden="false" customHeight="false" outlineLevel="0" collapsed="false">
      <c r="A40" s="7" t="s">
        <v>299</v>
      </c>
    </row>
    <row r="41" customFormat="false" ht="15" hidden="false" customHeight="false" outlineLevel="0" collapsed="false">
      <c r="A41" s="11" t="s">
        <v>300</v>
      </c>
      <c r="B41" s="11" t="s">
        <v>301</v>
      </c>
      <c r="C41" s="11"/>
      <c r="D41" s="11" t="s">
        <v>268</v>
      </c>
    </row>
    <row r="42" customFormat="false" ht="15" hidden="false" customHeight="false" outlineLevel="0" collapsed="false">
      <c r="A42" s="19" t="n">
        <v>0</v>
      </c>
      <c r="B42" s="12" t="n">
        <v>10</v>
      </c>
      <c r="C42" s="12"/>
      <c r="D42" s="12" t="s">
        <v>302</v>
      </c>
    </row>
    <row r="43" customFormat="false" ht="15" hidden="false" customHeight="false" outlineLevel="0" collapsed="false">
      <c r="A43" s="19" t="n">
        <v>0.115</v>
      </c>
      <c r="B43" s="12" t="n">
        <v>9</v>
      </c>
      <c r="C43" s="12"/>
      <c r="D43" s="12" t="s">
        <v>303</v>
      </c>
    </row>
    <row r="44" customFormat="false" ht="15" hidden="false" customHeight="false" outlineLevel="0" collapsed="false">
      <c r="A44" s="19" t="n">
        <v>0.17</v>
      </c>
      <c r="B44" s="12" t="n">
        <v>8</v>
      </c>
      <c r="C44" s="12"/>
      <c r="D44" s="12" t="s">
        <v>303</v>
      </c>
    </row>
    <row r="45" customFormat="false" ht="15" hidden="false" customHeight="false" outlineLevel="0" collapsed="false">
      <c r="A45" s="19" t="n">
        <v>0.24</v>
      </c>
      <c r="B45" s="12" t="n">
        <v>7</v>
      </c>
      <c r="C45" s="12"/>
      <c r="D45" s="12" t="s">
        <v>303</v>
      </c>
    </row>
    <row r="46" customFormat="false" ht="15" hidden="false" customHeight="false" outlineLevel="0" collapsed="false">
      <c r="A46" s="19" t="n">
        <v>0.325</v>
      </c>
      <c r="B46" s="12" t="n">
        <v>6</v>
      </c>
      <c r="C46" s="12"/>
      <c r="D46" s="12" t="s">
        <v>303</v>
      </c>
    </row>
    <row r="47" customFormat="false" ht="15" hidden="false" customHeight="false" outlineLevel="0" collapsed="false">
      <c r="A47" s="19" t="n">
        <v>0.425</v>
      </c>
      <c r="B47" s="12" t="n">
        <v>5</v>
      </c>
      <c r="C47" s="12"/>
      <c r="D47" s="12" t="s">
        <v>303</v>
      </c>
    </row>
    <row r="48" customFormat="false" ht="15" hidden="false" customHeight="false" outlineLevel="0" collapsed="false">
      <c r="A48" s="19" t="n">
        <v>0.525</v>
      </c>
      <c r="B48" s="12" t="n">
        <v>4</v>
      </c>
      <c r="C48" s="12"/>
      <c r="D48" s="12" t="s">
        <v>303</v>
      </c>
    </row>
    <row r="49" customFormat="false" ht="15" hidden="false" customHeight="false" outlineLevel="0" collapsed="false">
      <c r="A49" s="19" t="n">
        <v>0.65</v>
      </c>
      <c r="B49" s="12" t="n">
        <v>3</v>
      </c>
      <c r="C49" s="12"/>
      <c r="D49" s="12" t="s">
        <v>303</v>
      </c>
    </row>
    <row r="50" customFormat="false" ht="15" hidden="false" customHeight="false" outlineLevel="0" collapsed="false">
      <c r="A50" s="19" t="n">
        <v>0.85</v>
      </c>
      <c r="B50" s="12" t="n">
        <v>2</v>
      </c>
      <c r="C50" s="12"/>
      <c r="D50" s="12" t="s">
        <v>303</v>
      </c>
    </row>
    <row r="51" customFormat="false" ht="15" hidden="false" customHeight="false" outlineLevel="0" collapsed="false">
      <c r="A51" s="19" t="n">
        <v>1</v>
      </c>
      <c r="B51" s="12" t="n">
        <v>1</v>
      </c>
      <c r="C51" s="12"/>
      <c r="D51" s="12" t="s">
        <v>304</v>
      </c>
    </row>
    <row r="52" customFormat="false" ht="15" hidden="false" customHeight="false" outlineLevel="0" collapsed="false">
      <c r="A52" s="10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2026-10-09T12:27:45Z</dcterms:created>
  <dc:creator>openpyxl</dc:creator>
  <dc:description/>
  <dc:language>en-US</dc:language>
  <cp:lastModifiedBy/>
  <dcterms:modified xsi:type="dcterms:W3CDTF">2026-10-09T12:27:46Z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