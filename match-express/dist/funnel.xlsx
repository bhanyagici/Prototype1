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" sheetId="1" state="visible" r:id="rId1"/>
    <sheet name="Curv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sz val="14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B5FA8"/>
      </patternFill>
    </fill>
  </fills>
  <borders count="2">
    <border>
      <left/>
      <right/>
      <top/>
      <bottom/>
      <diagonal/>
    </border>
    <border>
      <left style="thin">
        <color rgb="00C8CFDA"/>
      </left>
      <right style="thin">
        <color rgb="00C8CFDA"/>
      </right>
      <top style="thin">
        <color rgb="00C8CFDA"/>
      </top>
      <bottom style="thin">
        <color rgb="00C8CF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5" fillId="0" borderId="0" pivotButton="0" quotePrefix="0" xfId="0"/>
    <xf numFmtId="1" fontId="2" fillId="0" borderId="1" pivotButton="0" quotePrefix="0" xfId="0"/>
    <xf numFmtId="165" fontId="6" fillId="0" borderId="1" pivotButton="0" quotePrefix="0" xfId="0"/>
    <xf numFmtId="0" fontId="3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E2F2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Difficulty per level: target vs measured</a:t>
            </a:r>
          </a:p>
        </rich>
      </tx>
    </title>
    <plotArea>
      <lineChart>
        <grouping val="standard"/>
        <ser>
          <idx val="0"/>
          <order val="0"/>
          <tx>
            <strRef>
              <f>'Curve'!B1</f>
            </strRef>
          </tx>
          <spPr>
            <a:ln w="22000">
              <a:solidFill>
                <a:srgbClr val="2A78D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'Curve'!$A$2:$A$41</f>
            </numRef>
          </cat>
          <val>
            <numRef>
              <f>'Curve'!$B$2:$B$41</f>
            </numRef>
          </val>
          <smooth val="0"/>
        </ser>
        <ser>
          <idx val="1"/>
          <order val="1"/>
          <tx>
            <strRef>
              <f>'Curve'!C1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'Curve'!$A$2:$A$41</f>
            </numRef>
          </cat>
          <val>
            <numRef>
              <f>'Curve'!$C$2:$C$41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Difficulty (1-10)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t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Stickmen per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'Curve'!D1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'Curve'!$A$2:$A$41</f>
            </numRef>
          </cat>
          <val>
            <numRef>
              <f>'Curve'!$D$2:$D$41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Stickmen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6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8" customWidth="1" min="10" max="10"/>
    <col width="22" customWidth="1" min="11" max="11"/>
    <col width="7" customWidth="1" min="12" max="12"/>
    <col width="8" customWidth="1" min="13" max="13"/>
    <col width="9" customWidth="1" min="14" max="14"/>
    <col width="34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30" customWidth="1" min="21" max="21"/>
    <col width="30" customWidth="1" min="22" max="22"/>
    <col width="22" customWidth="1" min="23" max="23"/>
    <col width="30" customWidth="1" min="24" max="24"/>
    <col width="9" customWidth="1" min="25" max="25"/>
    <col width="9" customWidth="1" min="26" max="26"/>
    <col width="8" customWidth="1" min="27" max="27"/>
    <col width="8" customWidth="1" min="28" max="28"/>
    <col width="10" customWidth="1" min="29" max="29"/>
    <col width="40" customWidth="1" min="30" max="30"/>
  </cols>
  <sheetData>
    <row r="1" ht="44" customHeight="1">
      <c r="A1" s="1" t="inlineStr">
        <is>
          <t>Level</t>
        </is>
      </c>
      <c r="B1" s="1" t="inlineStr">
        <is>
          <t>Id</t>
        </is>
      </c>
      <c r="C1" s="1" t="inlineStr">
        <is>
          <t>Role</t>
        </is>
      </c>
      <c r="D1" s="1" t="inlineStr">
        <is>
          <t>Lanes</t>
        </is>
      </c>
      <c r="E1" s="1" t="inlineStr">
        <is>
          <t>Target diff</t>
        </is>
      </c>
      <c r="F1" s="1" t="inlineStr">
        <is>
          <t>Band low</t>
        </is>
      </c>
      <c r="G1" s="1" t="inlineStr">
        <is>
          <t>Band high</t>
        </is>
      </c>
      <c r="H1" s="1" t="inlineStr">
        <is>
          <t>Random win rate</t>
        </is>
      </c>
      <c r="I1" s="1" t="inlineStr">
        <is>
          <t>Measured diff</t>
        </is>
      </c>
      <c r="J1" s="1" t="inlineStr">
        <is>
          <t>In band</t>
        </is>
      </c>
      <c r="K1" s="1" t="inlineStr">
        <is>
          <t>Ramps (columns x rows)</t>
        </is>
      </c>
      <c r="L1" s="1" t="inlineStr">
        <is>
          <t>Ramps</t>
        </is>
      </c>
      <c r="M1" s="1" t="inlineStr">
        <is>
          <t>Colours</t>
        </is>
      </c>
      <c r="N1" s="1" t="inlineStr">
        <is>
          <t>Stickmen</t>
        </is>
      </c>
      <c r="O1" s="1" t="inlineStr">
        <is>
          <t>Stickmen per colour</t>
        </is>
      </c>
      <c r="P1" s="1" t="inlineStr">
        <is>
          <t>Buses 4-seat</t>
        </is>
      </c>
      <c r="Q1" s="1" t="inlineStr">
        <is>
          <t>Buses 6-seat</t>
        </is>
      </c>
      <c r="R1" s="1" t="inlineStr">
        <is>
          <t>Buses 8-seat</t>
        </is>
      </c>
      <c r="S1" s="1" t="inlineStr">
        <is>
          <t>Buses 12-seat</t>
        </is>
      </c>
      <c r="T1" s="1" t="inlineStr">
        <is>
          <t>Buses total</t>
        </is>
      </c>
      <c r="U1" s="1" t="inlineStr">
        <is>
          <t>Blockers</t>
        </is>
      </c>
      <c r="V1" s="1" t="inlineStr">
        <is>
          <t>Tutorial / popup</t>
        </is>
      </c>
      <c r="W1" s="1" t="inlineStr">
        <is>
          <t>Road shape</t>
        </is>
      </c>
      <c r="X1" s="1" t="inlineStr">
        <is>
          <t>Ramp shape</t>
        </is>
      </c>
      <c r="Y1" s="1" t="inlineStr">
        <is>
          <t>Greedy 1x (s)</t>
        </is>
      </c>
      <c r="Z1" s="1" t="inlineStr">
        <is>
          <t>Greedy 2x (s)</t>
        </is>
      </c>
      <c r="AA1" s="1" t="inlineStr">
        <is>
          <t>Random wins</t>
        </is>
      </c>
      <c r="AB1" s="1" t="inlineStr">
        <is>
          <t>Random fails</t>
        </is>
      </c>
      <c r="AC1" s="1" t="inlineStr">
        <is>
          <t>Random unfinished</t>
        </is>
      </c>
      <c r="AD1" s="1" t="inlineStr">
        <is>
          <t>Ramp changes (did not fit the target zone)</t>
        </is>
      </c>
    </row>
    <row r="2">
      <c r="A2" s="2" t="n">
        <v>1</v>
      </c>
      <c r="B2" s="2" t="inlineStr">
        <is>
          <t>f01</t>
        </is>
      </c>
      <c r="C2" s="2" t="inlineStr">
        <is>
          <t>Tutorial</t>
        </is>
      </c>
      <c r="D2" s="2" t="n">
        <v>2</v>
      </c>
      <c r="E2" s="2" t="n">
        <v>1</v>
      </c>
      <c r="F2" s="3" t="n">
        <v>0.7</v>
      </c>
      <c r="G2" s="3" t="n">
        <v>1</v>
      </c>
      <c r="H2" s="3">
        <f>AA2/(AA2+AB2+AC2)</f>
        <v/>
      </c>
      <c r="I2" s="4">
        <f>IF(H2&gt;=1,1,INDEX(Summary!$B$48:$B$57,MATCH(H2,Summary!$A$48:$A$57,1))+(H2-INDEX(Summary!$A$48:$A$57,MATCH(H2,Summary!$A$48:$A$57,1)))*(INDEX(Summary!$B$48:$B$57,MATCH(H2,Summary!$A$48:$A$57,1)+1)-INDEX(Summary!$B$48:$B$57,MATCH(H2,Summary!$A$48:$A$57,1)))/(INDEX(Summary!$A$48:$A$57,MATCH(H2,Summary!$A$48:$A$57,1)+1)-INDEX(Summary!$A$48:$A$57,MATCH(H2,Summary!$A$48:$A$57,1))))</f>
        <v/>
      </c>
      <c r="J2" s="2">
        <f>AND(H2&gt;=F2,H2&lt;=G2)</f>
        <v/>
      </c>
      <c r="K2" s="2" t="inlineStr">
        <is>
          <t>4x4</t>
        </is>
      </c>
      <c r="L2" s="2" t="n">
        <v>1</v>
      </c>
      <c r="M2" s="2" t="n">
        <v>2</v>
      </c>
      <c r="N2" s="2" t="n">
        <v>16</v>
      </c>
      <c r="O2" s="5" t="inlineStr">
        <is>
          <t>red 8, blue 8</t>
        </is>
      </c>
      <c r="P2" s="2" t="n">
        <v>0</v>
      </c>
      <c r="Q2" s="2" t="n">
        <v>0</v>
      </c>
      <c r="R2" s="2" t="n">
        <v>2</v>
      </c>
      <c r="S2" s="2" t="n">
        <v>0</v>
      </c>
      <c r="T2" s="2">
        <f>SUM(P2:S2)</f>
        <v/>
      </c>
      <c r="U2" s="2" t="inlineStr">
        <is>
          <t>-</t>
        </is>
      </c>
      <c r="V2" s="5" t="inlineStr">
        <is>
          <t>Tutorial: hand pointer, first sends</t>
        </is>
      </c>
      <c r="W2" s="5" t="inlineStr">
        <is>
          <t>short road, one gentle curve</t>
        </is>
      </c>
      <c r="X2" s="5" t="inlineStr">
        <is>
          <t>one diagonal ramp (built: straight, turned)</t>
        </is>
      </c>
      <c r="Y2" s="2" t="n">
        <v>13.5</v>
      </c>
      <c r="Z2" s="4">
        <f>Y2/2</f>
        <v/>
      </c>
      <c r="AA2" s="2" t="n">
        <v>200</v>
      </c>
      <c r="AB2" s="2" t="n">
        <v>0</v>
      </c>
      <c r="AC2" s="2" t="n">
        <v>0</v>
      </c>
      <c r="AD2" s="2" t="inlineStr">
        <is>
          <t>-</t>
        </is>
      </c>
    </row>
    <row r="3">
      <c r="A3" s="2" t="n">
        <v>2</v>
      </c>
      <c r="B3" s="2" t="inlineStr">
        <is>
          <t>f02</t>
        </is>
      </c>
      <c r="C3" s="2" t="inlineStr">
        <is>
          <t>Teach</t>
        </is>
      </c>
      <c r="D3" s="2" t="n">
        <v>2</v>
      </c>
      <c r="E3" s="2" t="n">
        <v>2</v>
      </c>
      <c r="F3" s="3" t="n">
        <v>0.7</v>
      </c>
      <c r="G3" s="3" t="n">
        <v>1</v>
      </c>
      <c r="H3" s="3">
        <f>AA3/(AA3+AB3+AC3)</f>
        <v/>
      </c>
      <c r="I3" s="4">
        <f>IF(H3&gt;=1,1,INDEX(Summary!$B$48:$B$57,MATCH(H3,Summary!$A$48:$A$57,1))+(H3-INDEX(Summary!$A$48:$A$57,MATCH(H3,Summary!$A$48:$A$57,1)))*(INDEX(Summary!$B$48:$B$57,MATCH(H3,Summary!$A$48:$A$57,1)+1)-INDEX(Summary!$B$48:$B$57,MATCH(H3,Summary!$A$48:$A$57,1)))/(INDEX(Summary!$A$48:$A$57,MATCH(H3,Summary!$A$48:$A$57,1)+1)-INDEX(Summary!$A$48:$A$57,MATCH(H3,Summary!$A$48:$A$57,1))))</f>
        <v/>
      </c>
      <c r="J3" s="2">
        <f>AND(H3&gt;=F3,H3&lt;=G3)</f>
        <v/>
      </c>
      <c r="K3" s="2" t="inlineStr">
        <is>
          <t>4x4, 4x4</t>
        </is>
      </c>
      <c r="L3" s="2" t="n">
        <v>2</v>
      </c>
      <c r="M3" s="2" t="n">
        <v>3</v>
      </c>
      <c r="N3" s="2" t="n">
        <v>32</v>
      </c>
      <c r="O3" s="5" t="inlineStr">
        <is>
          <t>red 8, yellow 8, blue 16</t>
        </is>
      </c>
      <c r="P3" s="2" t="n">
        <v>0</v>
      </c>
      <c r="Q3" s="2" t="n">
        <v>0</v>
      </c>
      <c r="R3" s="2" t="n">
        <v>4</v>
      </c>
      <c r="S3" s="2" t="n">
        <v>0</v>
      </c>
      <c r="T3" s="2">
        <f>SUM(P3:S3)</f>
        <v/>
      </c>
      <c r="U3" s="2" t="inlineStr">
        <is>
          <t>-</t>
        </is>
      </c>
      <c r="V3" s="2" t="inlineStr">
        <is>
          <t>-</t>
        </is>
      </c>
      <c r="W3" s="5" t="inlineStr">
        <is>
          <t>S-curve, ramps on both sides</t>
        </is>
      </c>
      <c r="X3" s="5" t="inlineStr">
        <is>
          <t>square bleachers on both sides (built: straight, turned)</t>
        </is>
      </c>
      <c r="Y3" s="2" t="n">
        <v>17.9</v>
      </c>
      <c r="Z3" s="4">
        <f>Y3/2</f>
        <v/>
      </c>
      <c r="AA3" s="2" t="n">
        <v>200</v>
      </c>
      <c r="AB3" s="2" t="n">
        <v>0</v>
      </c>
      <c r="AC3" s="2" t="n">
        <v>0</v>
      </c>
      <c r="AD3" s="2" t="inlineStr">
        <is>
          <t>-</t>
        </is>
      </c>
    </row>
    <row r="4">
      <c r="A4" s="2" t="n">
        <v>3</v>
      </c>
      <c r="B4" s="2" t="inlineStr">
        <is>
          <t>f03</t>
        </is>
      </c>
      <c r="C4" s="5" t="inlineStr">
        <is>
          <t>Tutorial (bay re-send)</t>
        </is>
      </c>
      <c r="D4" s="2" t="n">
        <v>2</v>
      </c>
      <c r="E4" s="2" t="n">
        <v>2</v>
      </c>
      <c r="F4" s="3" t="n">
        <v>0.7</v>
      </c>
      <c r="G4" s="3" t="n">
        <v>1</v>
      </c>
      <c r="H4" s="3">
        <f>AA4/(AA4+AB4+AC4)</f>
        <v/>
      </c>
      <c r="I4" s="4">
        <f>IF(H4&gt;=1,1,INDEX(Summary!$B$48:$B$57,MATCH(H4,Summary!$A$48:$A$57,1))+(H4-INDEX(Summary!$A$48:$A$57,MATCH(H4,Summary!$A$48:$A$57,1)))*(INDEX(Summary!$B$48:$B$57,MATCH(H4,Summary!$A$48:$A$57,1)+1)-INDEX(Summary!$B$48:$B$57,MATCH(H4,Summary!$A$48:$A$57,1)))/(INDEX(Summary!$A$48:$A$57,MATCH(H4,Summary!$A$48:$A$57,1)+1)-INDEX(Summary!$A$48:$A$57,MATCH(H4,Summary!$A$48:$A$57,1))))</f>
        <v/>
      </c>
      <c r="J4" s="2">
        <f>AND(H4&gt;=F4,H4&lt;=G4)</f>
        <v/>
      </c>
      <c r="K4" s="2" t="inlineStr">
        <is>
          <t>5x4, 5x4</t>
        </is>
      </c>
      <c r="L4" s="2" t="n">
        <v>2</v>
      </c>
      <c r="M4" s="2" t="n">
        <v>3</v>
      </c>
      <c r="N4" s="2" t="n">
        <v>40</v>
      </c>
      <c r="O4" s="5" t="inlineStr">
        <is>
          <t>red 8, yellow 16, blue 16</t>
        </is>
      </c>
      <c r="P4" s="2" t="n">
        <v>0</v>
      </c>
      <c r="Q4" s="2" t="n">
        <v>0</v>
      </c>
      <c r="R4" s="2" t="n">
        <v>5</v>
      </c>
      <c r="S4" s="2" t="n">
        <v>0</v>
      </c>
      <c r="T4" s="2">
        <f>SUM(P4:S4)</f>
        <v/>
      </c>
      <c r="U4" s="2" t="inlineStr">
        <is>
          <t>-</t>
        </is>
      </c>
      <c r="V4" s="5" t="inlineStr">
        <is>
          <t>Tutorial: hand pointer, parked bus re-send</t>
        </is>
      </c>
      <c r="W4" s="5" t="inlineStr">
        <is>
          <t>longer S-curve</t>
        </is>
      </c>
      <c r="X4" s="5" t="inlineStr">
        <is>
          <t>two diagonal ramps (built: straight, square to the road, straight, turned)</t>
        </is>
      </c>
      <c r="Y4" s="2" t="n">
        <v>38.7</v>
      </c>
      <c r="Z4" s="4">
        <f>Y4/2</f>
        <v/>
      </c>
      <c r="AA4" s="2" t="n">
        <v>200</v>
      </c>
      <c r="AB4" s="2" t="n">
        <v>0</v>
      </c>
      <c r="AC4" s="2" t="n">
        <v>0</v>
      </c>
      <c r="AD4" s="2" t="inlineStr">
        <is>
          <t>-</t>
        </is>
      </c>
    </row>
    <row r="5">
      <c r="A5" s="2" t="n">
        <v>4</v>
      </c>
      <c r="B5" s="2" t="inlineStr">
        <is>
          <t>f04</t>
        </is>
      </c>
      <c r="C5" s="5" t="inlineStr">
        <is>
          <t>Teach (bus sizes)</t>
        </is>
      </c>
      <c r="D5" s="2" t="n">
        <v>2</v>
      </c>
      <c r="E5" s="2" t="n">
        <v>3</v>
      </c>
      <c r="F5" s="3" t="n">
        <v>0.55</v>
      </c>
      <c r="G5" s="3" t="n">
        <v>0.75</v>
      </c>
      <c r="H5" s="3">
        <f>AA5/(AA5+AB5+AC5)</f>
        <v/>
      </c>
      <c r="I5" s="4">
        <f>IF(H5&gt;=1,1,INDEX(Summary!$B$48:$B$57,MATCH(H5,Summary!$A$48:$A$57,1))+(H5-INDEX(Summary!$A$48:$A$57,MATCH(H5,Summary!$A$48:$A$57,1)))*(INDEX(Summary!$B$48:$B$57,MATCH(H5,Summary!$A$48:$A$57,1)+1)-INDEX(Summary!$B$48:$B$57,MATCH(H5,Summary!$A$48:$A$57,1)))/(INDEX(Summary!$A$48:$A$57,MATCH(H5,Summary!$A$48:$A$57,1)+1)-INDEX(Summary!$A$48:$A$57,MATCH(H5,Summary!$A$48:$A$57,1))))</f>
        <v/>
      </c>
      <c r="J5" s="2">
        <f>AND(H5&gt;=F5,H5&lt;=G5)</f>
        <v/>
      </c>
      <c r="K5" s="2" t="inlineStr">
        <is>
          <t>4x7, 4x6</t>
        </is>
      </c>
      <c r="L5" s="2" t="n">
        <v>2</v>
      </c>
      <c r="M5" s="2" t="n">
        <v>4</v>
      </c>
      <c r="N5" s="2" t="n">
        <v>52</v>
      </c>
      <c r="O5" s="5" t="inlineStr">
        <is>
          <t>red 12, yellow 16, green 12, blue 12</t>
        </is>
      </c>
      <c r="P5" s="2" t="n">
        <v>5</v>
      </c>
      <c r="Q5" s="2" t="n">
        <v>0</v>
      </c>
      <c r="R5" s="2" t="n">
        <v>1</v>
      </c>
      <c r="S5" s="2" t="n">
        <v>2</v>
      </c>
      <c r="T5" s="2">
        <f>SUM(P5:S5)</f>
        <v/>
      </c>
      <c r="U5" s="2" t="inlineStr">
        <is>
          <t>-</t>
        </is>
      </c>
      <c r="V5" s="2" t="inlineStr">
        <is>
          <t>-</t>
        </is>
      </c>
      <c r="W5" s="5" t="inlineStr">
        <is>
          <t>long almost straight road</t>
        </is>
      </c>
      <c r="X5" s="5" t="inlineStr">
        <is>
          <t>long narrow diagonal ramps (built: straight, turned)</t>
        </is>
      </c>
      <c r="Y5" s="2" t="n">
        <v>33.8</v>
      </c>
      <c r="Z5" s="4">
        <f>Y5/2</f>
        <v/>
      </c>
      <c r="AA5" s="2" t="n">
        <v>200</v>
      </c>
      <c r="AB5" s="2" t="n">
        <v>0</v>
      </c>
      <c r="AC5" s="2" t="n">
        <v>0</v>
      </c>
      <c r="AD5" s="2" t="inlineStr">
        <is>
          <t>-</t>
        </is>
      </c>
    </row>
    <row r="6">
      <c r="A6" s="2" t="n">
        <v>5</v>
      </c>
      <c r="B6" s="2" t="inlineStr">
        <is>
          <t>f05</t>
        </is>
      </c>
      <c r="C6" s="2" t="inlineStr">
        <is>
          <t>Fun</t>
        </is>
      </c>
      <c r="D6" s="2" t="n">
        <v>2</v>
      </c>
      <c r="E6" s="2" t="n">
        <v>2</v>
      </c>
      <c r="F6" s="3" t="n">
        <v>0.7</v>
      </c>
      <c r="G6" s="3" t="n">
        <v>1</v>
      </c>
      <c r="H6" s="3">
        <f>AA6/(AA6+AB6+AC6)</f>
        <v/>
      </c>
      <c r="I6" s="4">
        <f>IF(H6&gt;=1,1,INDEX(Summary!$B$48:$B$57,MATCH(H6,Summary!$A$48:$A$57,1))+(H6-INDEX(Summary!$A$48:$A$57,MATCH(H6,Summary!$A$48:$A$57,1)))*(INDEX(Summary!$B$48:$B$57,MATCH(H6,Summary!$A$48:$A$57,1)+1)-INDEX(Summary!$B$48:$B$57,MATCH(H6,Summary!$A$48:$A$57,1)))/(INDEX(Summary!$A$48:$A$57,MATCH(H6,Summary!$A$48:$A$57,1)+1)-INDEX(Summary!$A$48:$A$57,MATCH(H6,Summary!$A$48:$A$57,1))))</f>
        <v/>
      </c>
      <c r="J6" s="2">
        <f>AND(H6&gt;=F6,H6&lt;=G6)</f>
        <v/>
      </c>
      <c r="K6" s="5" t="inlineStr">
        <is>
          <t>4x6, 4x5, 4x5</t>
        </is>
      </c>
      <c r="L6" s="2" t="n">
        <v>3</v>
      </c>
      <c r="M6" s="2" t="n">
        <v>4</v>
      </c>
      <c r="N6" s="2" t="n">
        <v>64</v>
      </c>
      <c r="O6" s="5" t="inlineStr">
        <is>
          <t>red 16, yellow 20, green 12, blue 16</t>
        </is>
      </c>
      <c r="P6" s="2" t="n">
        <v>0</v>
      </c>
      <c r="Q6" s="2" t="n">
        <v>0</v>
      </c>
      <c r="R6" s="2" t="n">
        <v>5</v>
      </c>
      <c r="S6" s="2" t="n">
        <v>2</v>
      </c>
      <c r="T6" s="2">
        <f>SUM(P6:S6)</f>
        <v/>
      </c>
      <c r="U6" s="2" t="inlineStr">
        <is>
          <t>-</t>
        </is>
      </c>
      <c r="V6" s="2" t="inlineStr">
        <is>
          <t>-</t>
        </is>
      </c>
      <c r="W6" s="5" t="inlineStr">
        <is>
          <t>first spiral</t>
        </is>
      </c>
      <c r="X6" s="5" t="inlineStr">
        <is>
          <t>bleachers before and after the spiral (built: straight, turned)</t>
        </is>
      </c>
      <c r="Y6" s="2" t="n">
        <v>33.9</v>
      </c>
      <c r="Z6" s="4">
        <f>Y6/2</f>
        <v/>
      </c>
      <c r="AA6" s="2" t="n">
        <v>200</v>
      </c>
      <c r="AB6" s="2" t="n">
        <v>0</v>
      </c>
      <c r="AC6" s="2" t="n">
        <v>0</v>
      </c>
      <c r="AD6" s="2" t="inlineStr">
        <is>
          <t>-</t>
        </is>
      </c>
    </row>
    <row r="7">
      <c r="A7" s="2" t="n">
        <v>6</v>
      </c>
      <c r="B7" s="2" t="inlineStr">
        <is>
          <t>f06</t>
        </is>
      </c>
      <c r="C7" s="2" t="inlineStr">
        <is>
          <t>Challenge</t>
        </is>
      </c>
      <c r="D7" s="2" t="n">
        <v>3</v>
      </c>
      <c r="E7" s="2" t="n">
        <v>5</v>
      </c>
      <c r="F7" s="3" t="n">
        <v>0.35</v>
      </c>
      <c r="G7" s="3" t="n">
        <v>0.5</v>
      </c>
      <c r="H7" s="3">
        <f>AA7/(AA7+AB7+AC7)</f>
        <v/>
      </c>
      <c r="I7" s="4">
        <f>IF(H7&gt;=1,1,INDEX(Summary!$B$48:$B$57,MATCH(H7,Summary!$A$48:$A$57,1))+(H7-INDEX(Summary!$A$48:$A$57,MATCH(H7,Summary!$A$48:$A$57,1)))*(INDEX(Summary!$B$48:$B$57,MATCH(H7,Summary!$A$48:$A$57,1)+1)-INDEX(Summary!$B$48:$B$57,MATCH(H7,Summary!$A$48:$A$57,1)))/(INDEX(Summary!$A$48:$A$57,MATCH(H7,Summary!$A$48:$A$57,1)+1)-INDEX(Summary!$A$48:$A$57,MATCH(H7,Summary!$A$48:$A$57,1))))</f>
        <v/>
      </c>
      <c r="J7" s="2">
        <f>AND(H7&gt;=F7,H7&lt;=G7)</f>
        <v/>
      </c>
      <c r="K7" s="5" t="inlineStr">
        <is>
          <t>6x4, 6x4, 6x4</t>
        </is>
      </c>
      <c r="L7" s="2" t="n">
        <v>3</v>
      </c>
      <c r="M7" s="2" t="n">
        <v>4</v>
      </c>
      <c r="N7" s="2" t="n">
        <v>72</v>
      </c>
      <c r="O7" s="5" t="inlineStr">
        <is>
          <t>red 16, yellow 16, green 20, blue 20</t>
        </is>
      </c>
      <c r="P7" s="2" t="n">
        <v>9</v>
      </c>
      <c r="Q7" s="2" t="n">
        <v>0</v>
      </c>
      <c r="R7" s="2" t="n">
        <v>3</v>
      </c>
      <c r="S7" s="2" t="n">
        <v>1</v>
      </c>
      <c r="T7" s="2">
        <f>SUM(P7:S7)</f>
        <v/>
      </c>
      <c r="U7" s="2" t="inlineStr">
        <is>
          <t>-</t>
        </is>
      </c>
      <c r="V7" s="2" t="inlineStr">
        <is>
          <t>-</t>
        </is>
      </c>
      <c r="W7" s="2" t="inlineStr">
        <is>
          <t>zigzag</t>
        </is>
      </c>
      <c r="X7" s="5" t="inlineStr">
        <is>
          <t>wide shallow bleachers outside the corners (built: straight, turned)</t>
        </is>
      </c>
      <c r="Y7" s="2" t="n">
        <v>71.90000000000001</v>
      </c>
      <c r="Z7" s="4">
        <f>Y7/2</f>
        <v/>
      </c>
      <c r="AA7" s="2" t="n">
        <v>197</v>
      </c>
      <c r="AB7" s="2" t="n">
        <v>3</v>
      </c>
      <c r="AC7" s="2" t="n">
        <v>0</v>
      </c>
      <c r="AD7" s="2" t="inlineStr">
        <is>
          <t>-</t>
        </is>
      </c>
    </row>
    <row r="8">
      <c r="A8" s="2" t="n">
        <v>7</v>
      </c>
      <c r="B8" s="2" t="inlineStr">
        <is>
          <t>f07</t>
        </is>
      </c>
      <c r="C8" s="5" t="inlineStr">
        <is>
          <t>Teach + POPUP</t>
        </is>
      </c>
      <c r="D8" s="2" t="n">
        <v>3</v>
      </c>
      <c r="E8" s="2" t="n">
        <v>3</v>
      </c>
      <c r="F8" s="3" t="n">
        <v>0.55</v>
      </c>
      <c r="G8" s="3" t="n">
        <v>0.75</v>
      </c>
      <c r="H8" s="3">
        <f>AA8/(AA8+AB8+AC8)</f>
        <v/>
      </c>
      <c r="I8" s="4">
        <f>IF(H8&gt;=1,1,INDEX(Summary!$B$48:$B$57,MATCH(H8,Summary!$A$48:$A$57,1))+(H8-INDEX(Summary!$A$48:$A$57,MATCH(H8,Summary!$A$48:$A$57,1)))*(INDEX(Summary!$B$48:$B$57,MATCH(H8,Summary!$A$48:$A$57,1)+1)-INDEX(Summary!$B$48:$B$57,MATCH(H8,Summary!$A$48:$A$57,1)))/(INDEX(Summary!$A$48:$A$57,MATCH(H8,Summary!$A$48:$A$57,1)+1)-INDEX(Summary!$A$48:$A$57,MATCH(H8,Summary!$A$48:$A$57,1))))</f>
        <v/>
      </c>
      <c r="J8" s="2">
        <f>AND(H8&gt;=F8,H8&lt;=G8)</f>
        <v/>
      </c>
      <c r="K8" s="2" t="inlineStr">
        <is>
          <t>8x4, 8x4</t>
        </is>
      </c>
      <c r="L8" s="2" t="n">
        <v>2</v>
      </c>
      <c r="M8" s="2" t="n">
        <v>4</v>
      </c>
      <c r="N8" s="2" t="n">
        <v>64</v>
      </c>
      <c r="O8" s="5" t="inlineStr">
        <is>
          <t>red 12, yellow 20, green 16, blue 16</t>
        </is>
      </c>
      <c r="P8" s="2" t="n">
        <v>3</v>
      </c>
      <c r="Q8" s="2" t="n">
        <v>0</v>
      </c>
      <c r="R8" s="2" t="n">
        <v>2</v>
      </c>
      <c r="S8" s="2" t="n">
        <v>3</v>
      </c>
      <c r="T8" s="2">
        <f>SUM(P8:S8)</f>
        <v/>
      </c>
      <c r="U8" s="5" t="inlineStr">
        <is>
          <t>5 hidden buses</t>
        </is>
      </c>
      <c r="V8" s="5" t="inlineStr">
        <is>
          <t>Intro popup: Hidden Bus</t>
        </is>
      </c>
      <c r="W8" s="5" t="inlineStr">
        <is>
          <t>wide hairpin</t>
        </is>
      </c>
      <c r="X8" s="5" t="inlineStr">
        <is>
          <t>one ramp inside the hairpin, one outside (built: straight, turned)</t>
        </is>
      </c>
      <c r="Y8" s="2" t="n">
        <v>46.1</v>
      </c>
      <c r="Z8" s="4">
        <f>Y8/2</f>
        <v/>
      </c>
      <c r="AA8" s="2" t="n">
        <v>200</v>
      </c>
      <c r="AB8" s="2" t="n">
        <v>0</v>
      </c>
      <c r="AC8" s="2" t="n">
        <v>0</v>
      </c>
      <c r="AD8" s="2" t="inlineStr">
        <is>
          <t>-</t>
        </is>
      </c>
    </row>
    <row r="9">
      <c r="A9" s="2" t="n">
        <v>8</v>
      </c>
      <c r="B9" s="2" t="inlineStr">
        <is>
          <t>f08</t>
        </is>
      </c>
      <c r="C9" s="2" t="inlineStr">
        <is>
          <t>Practice</t>
        </is>
      </c>
      <c r="D9" s="2" t="n">
        <v>3</v>
      </c>
      <c r="E9" s="2" t="n">
        <v>5</v>
      </c>
      <c r="F9" s="3" t="n">
        <v>0.35</v>
      </c>
      <c r="G9" s="3" t="n">
        <v>0.5</v>
      </c>
      <c r="H9" s="3">
        <f>AA9/(AA9+AB9+AC9)</f>
        <v/>
      </c>
      <c r="I9" s="4">
        <f>IF(H9&gt;=1,1,INDEX(Summary!$B$48:$B$57,MATCH(H9,Summary!$A$48:$A$57,1))+(H9-INDEX(Summary!$A$48:$A$57,MATCH(H9,Summary!$A$48:$A$57,1)))*(INDEX(Summary!$B$48:$B$57,MATCH(H9,Summary!$A$48:$A$57,1)+1)-INDEX(Summary!$B$48:$B$57,MATCH(H9,Summary!$A$48:$A$57,1)))/(INDEX(Summary!$A$48:$A$57,MATCH(H9,Summary!$A$48:$A$57,1)+1)-INDEX(Summary!$A$48:$A$57,MATCH(H9,Summary!$A$48:$A$57,1))))</f>
        <v/>
      </c>
      <c r="J9" s="2">
        <f>AND(H9&gt;=F9,H9&lt;=G9)</f>
        <v/>
      </c>
      <c r="K9" s="5" t="inlineStr">
        <is>
          <t>7x4, 7x4, 7x4</t>
        </is>
      </c>
      <c r="L9" s="2" t="n">
        <v>3</v>
      </c>
      <c r="M9" s="2" t="n">
        <v>5</v>
      </c>
      <c r="N9" s="2" t="n">
        <v>84</v>
      </c>
      <c r="O9" s="5" t="inlineStr">
        <is>
          <t>red 20, yellow 16, green 16, blue 20, purple 12</t>
        </is>
      </c>
      <c r="P9" s="2" t="n">
        <v>12</v>
      </c>
      <c r="Q9" s="2" t="n">
        <v>0</v>
      </c>
      <c r="R9" s="2" t="n">
        <v>3</v>
      </c>
      <c r="S9" s="2" t="n">
        <v>1</v>
      </c>
      <c r="T9" s="2">
        <f>SUM(P9:S9)</f>
        <v/>
      </c>
      <c r="U9" s="5" t="inlineStr">
        <is>
          <t>2 hidden buses</t>
        </is>
      </c>
      <c r="V9" s="2" t="inlineStr">
        <is>
          <t>-</t>
        </is>
      </c>
      <c r="W9" s="5" t="inlineStr">
        <is>
          <t>S-curve + spiral</t>
        </is>
      </c>
      <c r="X9" s="5" t="inlineStr">
        <is>
          <t>curved arc ramps (built: straight, turned)</t>
        </is>
      </c>
      <c r="Y9" s="2" t="n">
        <v>63.9</v>
      </c>
      <c r="Z9" s="4">
        <f>Y9/2</f>
        <v/>
      </c>
      <c r="AA9" s="2" t="n">
        <v>184</v>
      </c>
      <c r="AB9" s="2" t="n">
        <v>16</v>
      </c>
      <c r="AC9" s="2" t="n">
        <v>0</v>
      </c>
      <c r="AD9" s="2" t="inlineStr">
        <is>
          <t>-</t>
        </is>
      </c>
    </row>
    <row r="10">
      <c r="A10" s="2" t="n">
        <v>9</v>
      </c>
      <c r="B10" s="2" t="inlineStr">
        <is>
          <t>f09</t>
        </is>
      </c>
      <c r="C10" s="2" t="inlineStr">
        <is>
          <t>Relax</t>
        </is>
      </c>
      <c r="D10" s="2" t="n">
        <v>2</v>
      </c>
      <c r="E10" s="2" t="n">
        <v>3</v>
      </c>
      <c r="F10" s="3" t="n">
        <v>0.55</v>
      </c>
      <c r="G10" s="3" t="n">
        <v>0.75</v>
      </c>
      <c r="H10" s="3">
        <f>AA10/(AA10+AB10+AC10)</f>
        <v/>
      </c>
      <c r="I10" s="4">
        <f>IF(H10&gt;=1,1,INDEX(Summary!$B$48:$B$57,MATCH(H10,Summary!$A$48:$A$57,1))+(H10-INDEX(Summary!$A$48:$A$57,MATCH(H10,Summary!$A$48:$A$57,1)))*(INDEX(Summary!$B$48:$B$57,MATCH(H10,Summary!$A$48:$A$57,1)+1)-INDEX(Summary!$B$48:$B$57,MATCH(H10,Summary!$A$48:$A$57,1)))/(INDEX(Summary!$A$48:$A$57,MATCH(H10,Summary!$A$48:$A$57,1)+1)-INDEX(Summary!$A$48:$A$57,MATCH(H10,Summary!$A$48:$A$57,1))))</f>
        <v/>
      </c>
      <c r="J10" s="2">
        <f>AND(H10&gt;=F10,H10&lt;=G10)</f>
        <v/>
      </c>
      <c r="K10" s="2" t="inlineStr">
        <is>
          <t>4x10, 4x9</t>
        </is>
      </c>
      <c r="L10" s="2" t="n">
        <v>2</v>
      </c>
      <c r="M10" s="2" t="n">
        <v>4</v>
      </c>
      <c r="N10" s="2" t="n">
        <v>76</v>
      </c>
      <c r="O10" s="5" t="inlineStr">
        <is>
          <t>red 22, yellow 18, green 22, blue 14</t>
        </is>
      </c>
      <c r="P10" s="2" t="n">
        <v>0</v>
      </c>
      <c r="Q10" s="2" t="n">
        <v>4</v>
      </c>
      <c r="R10" s="2" t="n">
        <v>5</v>
      </c>
      <c r="S10" s="2" t="n">
        <v>1</v>
      </c>
      <c r="T10" s="2">
        <f>SUM(P10:S10)</f>
        <v/>
      </c>
      <c r="U10" s="2" t="inlineStr">
        <is>
          <t>-</t>
        </is>
      </c>
      <c r="V10" s="2" t="inlineStr">
        <is>
          <t>-</t>
        </is>
      </c>
      <c r="W10" s="5" t="inlineStr">
        <is>
          <t>long gentle curve</t>
        </is>
      </c>
      <c r="X10" s="5" t="inlineStr">
        <is>
          <t>long narrow diagonal ramps (built: straight, turned)</t>
        </is>
      </c>
      <c r="Y10" s="2" t="n">
        <v>65.3</v>
      </c>
      <c r="Z10" s="4">
        <f>Y10/2</f>
        <v/>
      </c>
      <c r="AA10" s="2" t="n">
        <v>200</v>
      </c>
      <c r="AB10" s="2" t="n">
        <v>0</v>
      </c>
      <c r="AC10" s="2" t="n">
        <v>0</v>
      </c>
      <c r="AD10" s="2" t="inlineStr">
        <is>
          <t>-</t>
        </is>
      </c>
    </row>
    <row r="11">
      <c r="A11" s="2" t="n">
        <v>10</v>
      </c>
      <c r="B11" s="2" t="inlineStr">
        <is>
          <t>f10</t>
        </is>
      </c>
      <c r="C11" s="2" t="inlineStr">
        <is>
          <t>Milestone</t>
        </is>
      </c>
      <c r="D11" s="2" t="n">
        <v>3</v>
      </c>
      <c r="E11" s="2" t="n">
        <v>6</v>
      </c>
      <c r="F11" s="3" t="n">
        <v>0.25</v>
      </c>
      <c r="G11" s="3" t="n">
        <v>0.4</v>
      </c>
      <c r="H11" s="3">
        <f>AA11/(AA11+AB11+AC11)</f>
        <v/>
      </c>
      <c r="I11" s="4">
        <f>IF(H11&gt;=1,1,INDEX(Summary!$B$48:$B$57,MATCH(H11,Summary!$A$48:$A$57,1))+(H11-INDEX(Summary!$A$48:$A$57,MATCH(H11,Summary!$A$48:$A$57,1)))*(INDEX(Summary!$B$48:$B$57,MATCH(H11,Summary!$A$48:$A$57,1)+1)-INDEX(Summary!$B$48:$B$57,MATCH(H11,Summary!$A$48:$A$57,1)))/(INDEX(Summary!$A$48:$A$57,MATCH(H11,Summary!$A$48:$A$57,1)+1)-INDEX(Summary!$A$48:$A$57,MATCH(H11,Summary!$A$48:$A$57,1))))</f>
        <v/>
      </c>
      <c r="J11" s="2">
        <f>AND(H11&gt;=F11,H11&lt;=G11)</f>
        <v/>
      </c>
      <c r="K11" s="5" t="inlineStr">
        <is>
          <t>8x5, 8x4, 8x4</t>
        </is>
      </c>
      <c r="L11" s="2" t="n">
        <v>3</v>
      </c>
      <c r="M11" s="2" t="n">
        <v>5</v>
      </c>
      <c r="N11" s="2" t="n">
        <v>104</v>
      </c>
      <c r="O11" s="5" t="inlineStr">
        <is>
          <t>red 22, yellow 22, green 20, blue 22, purple 18</t>
        </is>
      </c>
      <c r="P11" s="2" t="n">
        <v>2</v>
      </c>
      <c r="Q11" s="2" t="n">
        <v>4</v>
      </c>
      <c r="R11" s="2" t="n">
        <v>3</v>
      </c>
      <c r="S11" s="2" t="n">
        <v>4</v>
      </c>
      <c r="T11" s="2">
        <f>SUM(P11:S11)</f>
        <v/>
      </c>
      <c r="U11" s="5" t="inlineStr">
        <is>
          <t>3 hidden buses</t>
        </is>
      </c>
      <c r="V11" s="2" t="inlineStr">
        <is>
          <t>-</t>
        </is>
      </c>
      <c r="W11" s="2" t="inlineStr">
        <is>
          <t>double S</t>
        </is>
      </c>
      <c r="X11" s="5" t="inlineStr">
        <is>
          <t>bleachers in the S pockets (built: straight, turned)</t>
        </is>
      </c>
      <c r="Y11" s="2" t="n">
        <v>91.2</v>
      </c>
      <c r="Z11" s="4">
        <f>Y11/2</f>
        <v/>
      </c>
      <c r="AA11" s="2" t="n">
        <v>120</v>
      </c>
      <c r="AB11" s="2" t="n">
        <v>80</v>
      </c>
      <c r="AC11" s="2" t="n">
        <v>0</v>
      </c>
      <c r="AD11" s="2" t="inlineStr">
        <is>
          <t>-</t>
        </is>
      </c>
    </row>
    <row r="12">
      <c r="A12" s="2" t="n">
        <v>11</v>
      </c>
      <c r="B12" s="2" t="inlineStr">
        <is>
          <t>f11</t>
        </is>
      </c>
      <c r="C12" s="2" t="inlineStr">
        <is>
          <t>Relax</t>
        </is>
      </c>
      <c r="D12" s="2" t="n">
        <v>3</v>
      </c>
      <c r="E12" s="2" t="n">
        <v>3</v>
      </c>
      <c r="F12" s="3" t="n">
        <v>0.55</v>
      </c>
      <c r="G12" s="3" t="n">
        <v>0.75</v>
      </c>
      <c r="H12" s="3">
        <f>AA12/(AA12+AB12+AC12)</f>
        <v/>
      </c>
      <c r="I12" s="4">
        <f>IF(H12&gt;=1,1,INDEX(Summary!$B$48:$B$57,MATCH(H12,Summary!$A$48:$A$57,1))+(H12-INDEX(Summary!$A$48:$A$57,MATCH(H12,Summary!$A$48:$A$57,1)))*(INDEX(Summary!$B$48:$B$57,MATCH(H12,Summary!$A$48:$A$57,1)+1)-INDEX(Summary!$B$48:$B$57,MATCH(H12,Summary!$A$48:$A$57,1)))/(INDEX(Summary!$A$48:$A$57,MATCH(H12,Summary!$A$48:$A$57,1)+1)-INDEX(Summary!$A$48:$A$57,MATCH(H12,Summary!$A$48:$A$57,1))))</f>
        <v/>
      </c>
      <c r="J12" s="2">
        <f>AND(H12&gt;=F12,H12&lt;=G12)</f>
        <v/>
      </c>
      <c r="K12" s="2" t="inlineStr">
        <is>
          <t>6x7, 6x7</t>
        </is>
      </c>
      <c r="L12" s="2" t="n">
        <v>2</v>
      </c>
      <c r="M12" s="2" t="n">
        <v>4</v>
      </c>
      <c r="N12" s="2" t="n">
        <v>84</v>
      </c>
      <c r="O12" s="5" t="inlineStr">
        <is>
          <t>red 20, yellow 24, green 24, blue 16</t>
        </is>
      </c>
      <c r="P12" s="2" t="n">
        <v>0</v>
      </c>
      <c r="Q12" s="2" t="n">
        <v>4</v>
      </c>
      <c r="R12" s="2" t="n">
        <v>6</v>
      </c>
      <c r="S12" s="2" t="n">
        <v>1</v>
      </c>
      <c r="T12" s="2">
        <f>SUM(P12:S12)</f>
        <v/>
      </c>
      <c r="U12" s="2" t="inlineStr">
        <is>
          <t>-</t>
        </is>
      </c>
      <c r="V12" s="2" t="inlineStr">
        <is>
          <t>-</t>
        </is>
      </c>
      <c r="W12" s="2" t="inlineStr">
        <is>
          <t>wide loop</t>
        </is>
      </c>
      <c r="X12" s="5" t="inlineStr">
        <is>
          <t>curved arc ramps inside the loop (built: straight, square to the road, straight, turned)</t>
        </is>
      </c>
      <c r="Y12" s="2" t="n">
        <v>75.59999999999999</v>
      </c>
      <c r="Z12" s="4">
        <f>Y12/2</f>
        <v/>
      </c>
      <c r="AA12" s="2" t="n">
        <v>145</v>
      </c>
      <c r="AB12" s="2" t="n">
        <v>55</v>
      </c>
      <c r="AC12" s="2" t="n">
        <v>0</v>
      </c>
      <c r="AD12" s="2" t="inlineStr">
        <is>
          <t>-</t>
        </is>
      </c>
    </row>
    <row r="13">
      <c r="A13" s="2" t="n">
        <v>12</v>
      </c>
      <c r="B13" s="2" t="inlineStr">
        <is>
          <t>f12</t>
        </is>
      </c>
      <c r="C13" s="2" t="inlineStr">
        <is>
          <t>Challenge</t>
        </is>
      </c>
      <c r="D13" s="2" t="n">
        <v>3</v>
      </c>
      <c r="E13" s="2" t="n">
        <v>6</v>
      </c>
      <c r="F13" s="3" t="n">
        <v>0.25</v>
      </c>
      <c r="G13" s="3" t="n">
        <v>0.4</v>
      </c>
      <c r="H13" s="3">
        <f>AA13/(AA13+AB13+AC13)</f>
        <v/>
      </c>
      <c r="I13" s="4">
        <f>IF(H13&gt;=1,1,INDEX(Summary!$B$48:$B$57,MATCH(H13,Summary!$A$48:$A$57,1))+(H13-INDEX(Summary!$A$48:$A$57,MATCH(H13,Summary!$A$48:$A$57,1)))*(INDEX(Summary!$B$48:$B$57,MATCH(H13,Summary!$A$48:$A$57,1)+1)-INDEX(Summary!$B$48:$B$57,MATCH(H13,Summary!$A$48:$A$57,1)))/(INDEX(Summary!$A$48:$A$57,MATCH(H13,Summary!$A$48:$A$57,1)+1)-INDEX(Summary!$A$48:$A$57,MATCH(H13,Summary!$A$48:$A$57,1))))</f>
        <v/>
      </c>
      <c r="J13" s="2">
        <f>AND(H13&gt;=F13,H13&lt;=G13)</f>
        <v/>
      </c>
      <c r="K13" s="5" t="inlineStr">
        <is>
          <t>7x4, 7x4, 7x4, 7x4</t>
        </is>
      </c>
      <c r="L13" s="2" t="n">
        <v>4</v>
      </c>
      <c r="M13" s="2" t="n">
        <v>5</v>
      </c>
      <c r="N13" s="2" t="n">
        <v>112</v>
      </c>
      <c r="O13" s="5" t="inlineStr">
        <is>
          <t>red 26, yellow 22, green 26, blue 18, purple 20</t>
        </is>
      </c>
      <c r="P13" s="2" t="n">
        <v>4</v>
      </c>
      <c r="Q13" s="2" t="n">
        <v>6</v>
      </c>
      <c r="R13" s="2" t="n">
        <v>3</v>
      </c>
      <c r="S13" s="2" t="n">
        <v>3</v>
      </c>
      <c r="T13" s="2">
        <f>SUM(P13:S13)</f>
        <v/>
      </c>
      <c r="U13" s="5" t="inlineStr">
        <is>
          <t>2 hidden buses</t>
        </is>
      </c>
      <c r="V13" s="2" t="inlineStr">
        <is>
          <t>-</t>
        </is>
      </c>
      <c r="W13" s="5" t="inlineStr">
        <is>
          <t>straight road with a slight wave</t>
        </is>
      </c>
      <c r="X13" s="5" t="inlineStr">
        <is>
          <t>four bleachers alternating sides (built: straight, turned)</t>
        </is>
      </c>
      <c r="Y13" s="2" t="n">
        <v>77.3</v>
      </c>
      <c r="Z13" s="4">
        <f>Y13/2</f>
        <v/>
      </c>
      <c r="AA13" s="2" t="n">
        <v>123</v>
      </c>
      <c r="AB13" s="2" t="n">
        <v>77</v>
      </c>
      <c r="AC13" s="2" t="n">
        <v>0</v>
      </c>
      <c r="AD13" s="2" t="inlineStr">
        <is>
          <t>-</t>
        </is>
      </c>
    </row>
    <row r="14">
      <c r="A14" s="2" t="n">
        <v>13</v>
      </c>
      <c r="B14" s="2" t="inlineStr">
        <is>
          <t>f13</t>
        </is>
      </c>
      <c r="C14" s="5" t="inlineStr">
        <is>
          <t>Teach + POPUP</t>
        </is>
      </c>
      <c r="D14" s="2" t="n">
        <v>3</v>
      </c>
      <c r="E14" s="2" t="n">
        <v>3</v>
      </c>
      <c r="F14" s="3" t="n">
        <v>0.55</v>
      </c>
      <c r="G14" s="3" t="n">
        <v>0.75</v>
      </c>
      <c r="H14" s="3">
        <f>AA14/(AA14+AB14+AC14)</f>
        <v/>
      </c>
      <c r="I14" s="4">
        <f>IF(H14&gt;=1,1,INDEX(Summary!$B$48:$B$57,MATCH(H14,Summary!$A$48:$A$57,1))+(H14-INDEX(Summary!$A$48:$A$57,MATCH(H14,Summary!$A$48:$A$57,1)))*(INDEX(Summary!$B$48:$B$57,MATCH(H14,Summary!$A$48:$A$57,1)+1)-INDEX(Summary!$B$48:$B$57,MATCH(H14,Summary!$A$48:$A$57,1)))/(INDEX(Summary!$A$48:$A$57,MATCH(H14,Summary!$A$48:$A$57,1)+1)-INDEX(Summary!$A$48:$A$57,MATCH(H14,Summary!$A$48:$A$57,1))))</f>
        <v/>
      </c>
      <c r="J14" s="2">
        <f>AND(H14&gt;=F14,H14&lt;=G14)</f>
        <v/>
      </c>
      <c r="K14" s="5" t="inlineStr">
        <is>
          <t>8x4, 8x4, 8x4</t>
        </is>
      </c>
      <c r="L14" s="2" t="n">
        <v>3</v>
      </c>
      <c r="M14" s="2" t="n">
        <v>5</v>
      </c>
      <c r="N14" s="2" t="n">
        <v>96</v>
      </c>
      <c r="O14" s="5" t="inlineStr">
        <is>
          <t>red 22, yellow 24, green 20, blue 16, purple 14</t>
        </is>
      </c>
      <c r="P14" s="2" t="n">
        <v>10</v>
      </c>
      <c r="Q14" s="2" t="n">
        <v>4</v>
      </c>
      <c r="R14" s="2" t="n">
        <v>1</v>
      </c>
      <c r="S14" s="2" t="n">
        <v>2</v>
      </c>
      <c r="T14" s="2">
        <f>SUM(P14:S14)</f>
        <v/>
      </c>
      <c r="U14" s="5" t="inlineStr">
        <is>
          <t>4 connected pairs</t>
        </is>
      </c>
      <c r="V14" s="5" t="inlineStr">
        <is>
          <t>Intro popup: Connected Buses</t>
        </is>
      </c>
      <c r="W14" s="2" t="inlineStr">
        <is>
          <t>gentle S</t>
        </is>
      </c>
      <c r="X14" s="5" t="inlineStr">
        <is>
          <t>diagonal ramps (built: straight, square to the road, straight, turned)</t>
        </is>
      </c>
      <c r="Y14" s="2" t="n">
        <v>75.40000000000001</v>
      </c>
      <c r="Z14" s="4">
        <f>Y14/2</f>
        <v/>
      </c>
      <c r="AA14" s="2" t="n">
        <v>200</v>
      </c>
      <c r="AB14" s="2" t="n">
        <v>0</v>
      </c>
      <c r="AC14" s="2" t="n">
        <v>0</v>
      </c>
      <c r="AD14" s="2" t="inlineStr">
        <is>
          <t>-</t>
        </is>
      </c>
    </row>
    <row r="15">
      <c r="A15" s="2" t="n">
        <v>14</v>
      </c>
      <c r="B15" s="2" t="inlineStr">
        <is>
          <t>f14</t>
        </is>
      </c>
      <c r="C15" s="2" t="inlineStr">
        <is>
          <t>Practice</t>
        </is>
      </c>
      <c r="D15" s="2" t="n">
        <v>3</v>
      </c>
      <c r="E15" s="2" t="n">
        <v>6</v>
      </c>
      <c r="F15" s="3" t="n">
        <v>0.25</v>
      </c>
      <c r="G15" s="3" t="n">
        <v>0.4</v>
      </c>
      <c r="H15" s="3">
        <f>AA15/(AA15+AB15+AC15)</f>
        <v/>
      </c>
      <c r="I15" s="4">
        <f>IF(H15&gt;=1,1,INDEX(Summary!$B$48:$B$57,MATCH(H15,Summary!$A$48:$A$57,1))+(H15-INDEX(Summary!$A$48:$A$57,MATCH(H15,Summary!$A$48:$A$57,1)))*(INDEX(Summary!$B$48:$B$57,MATCH(H15,Summary!$A$48:$A$57,1)+1)-INDEX(Summary!$B$48:$B$57,MATCH(H15,Summary!$A$48:$A$57,1)))/(INDEX(Summary!$A$48:$A$57,MATCH(H15,Summary!$A$48:$A$57,1)+1)-INDEX(Summary!$A$48:$A$57,MATCH(H15,Summary!$A$48:$A$57,1))))</f>
        <v/>
      </c>
      <c r="J15" s="2">
        <f>AND(H15&gt;=F15,H15&lt;=G15)</f>
        <v/>
      </c>
      <c r="K15" s="5" t="inlineStr">
        <is>
          <t>8x5, 8x5, 8x5</t>
        </is>
      </c>
      <c r="L15" s="2" t="n">
        <v>3</v>
      </c>
      <c r="M15" s="2" t="n">
        <v>5</v>
      </c>
      <c r="N15" s="2" t="n">
        <v>120</v>
      </c>
      <c r="O15" s="5" t="inlineStr">
        <is>
          <t>red 22, yellow 24, green 16, blue 30, purple 28</t>
        </is>
      </c>
      <c r="P15" s="2" t="n">
        <v>4</v>
      </c>
      <c r="Q15" s="2" t="n">
        <v>4</v>
      </c>
      <c r="R15" s="2" t="n">
        <v>1</v>
      </c>
      <c r="S15" s="2" t="n">
        <v>6</v>
      </c>
      <c r="T15" s="2">
        <f>SUM(P15:S15)</f>
        <v/>
      </c>
      <c r="U15" s="5" t="inlineStr">
        <is>
          <t>6 connected pairs</t>
        </is>
      </c>
      <c r="V15" s="2" t="inlineStr">
        <is>
          <t>-</t>
        </is>
      </c>
      <c r="W15" s="5" t="inlineStr">
        <is>
          <t>spiral in the middle</t>
        </is>
      </c>
      <c r="X15" s="5" t="inlineStr">
        <is>
          <t>arc ramps around the spiral (built: straight, turned)</t>
        </is>
      </c>
      <c r="Y15" s="2" t="n">
        <v>105.4</v>
      </c>
      <c r="Z15" s="4">
        <f>Y15/2</f>
        <v/>
      </c>
      <c r="AA15" s="2" t="n">
        <v>77</v>
      </c>
      <c r="AB15" s="2" t="n">
        <v>123</v>
      </c>
      <c r="AC15" s="2" t="n">
        <v>0</v>
      </c>
      <c r="AD15" s="2" t="inlineStr">
        <is>
          <t>-</t>
        </is>
      </c>
    </row>
    <row r="16">
      <c r="A16" s="2" t="n">
        <v>15</v>
      </c>
      <c r="B16" s="2" t="inlineStr">
        <is>
          <t>f15</t>
        </is>
      </c>
      <c r="C16" s="2" t="inlineStr">
        <is>
          <t>Fun</t>
        </is>
      </c>
      <c r="D16" s="2" t="n">
        <v>3</v>
      </c>
      <c r="E16" s="2" t="n">
        <v>3</v>
      </c>
      <c r="F16" s="3" t="n">
        <v>0.55</v>
      </c>
      <c r="G16" s="3" t="n">
        <v>0.75</v>
      </c>
      <c r="H16" s="3">
        <f>AA16/(AA16+AB16+AC16)</f>
        <v/>
      </c>
      <c r="I16" s="4">
        <f>IF(H16&gt;=1,1,INDEX(Summary!$B$48:$B$57,MATCH(H16,Summary!$A$48:$A$57,1))+(H16-INDEX(Summary!$A$48:$A$57,MATCH(H16,Summary!$A$48:$A$57,1)))*(INDEX(Summary!$B$48:$B$57,MATCH(H16,Summary!$A$48:$A$57,1)+1)-INDEX(Summary!$B$48:$B$57,MATCH(H16,Summary!$A$48:$A$57,1)))/(INDEX(Summary!$A$48:$A$57,MATCH(H16,Summary!$A$48:$A$57,1)+1)-INDEX(Summary!$A$48:$A$57,MATCH(H16,Summary!$A$48:$A$57,1))))</f>
        <v/>
      </c>
      <c r="J16" s="2">
        <f>AND(H16&gt;=F16,H16&lt;=G16)</f>
        <v/>
      </c>
      <c r="K16" s="2" t="inlineStr">
        <is>
          <t>16x4, 16x4</t>
        </is>
      </c>
      <c r="L16" s="2" t="n">
        <v>2</v>
      </c>
      <c r="M16" s="2" t="n">
        <v>5</v>
      </c>
      <c r="N16" s="2" t="n">
        <v>128</v>
      </c>
      <c r="O16" s="5" t="inlineStr">
        <is>
          <t>red 28, yellow 24, green 24, blue 24, purple 28</t>
        </is>
      </c>
      <c r="P16" s="2" t="n">
        <v>0</v>
      </c>
      <c r="Q16" s="2" t="n">
        <v>0</v>
      </c>
      <c r="R16" s="2" t="n">
        <v>13</v>
      </c>
      <c r="S16" s="2" t="n">
        <v>2</v>
      </c>
      <c r="T16" s="2">
        <f>SUM(P16:S16)</f>
        <v/>
      </c>
      <c r="U16" s="2" t="inlineStr">
        <is>
          <t>-</t>
        </is>
      </c>
      <c r="V16" s="2" t="inlineStr">
        <is>
          <t>-</t>
        </is>
      </c>
      <c r="W16" s="5" t="inlineStr">
        <is>
          <t>straight road</t>
        </is>
      </c>
      <c r="X16" s="5" t="inlineStr">
        <is>
          <t>two very wide fan ramps (built: straight, turned)</t>
        </is>
      </c>
      <c r="Y16" s="2" t="n">
        <v>53</v>
      </c>
      <c r="Z16" s="4">
        <f>Y16/2</f>
        <v/>
      </c>
      <c r="AA16" s="2" t="n">
        <v>200</v>
      </c>
      <c r="AB16" s="2" t="n">
        <v>0</v>
      </c>
      <c r="AC16" s="2" t="n">
        <v>0</v>
      </c>
      <c r="AD16" s="2" t="inlineStr">
        <is>
          <t>-</t>
        </is>
      </c>
    </row>
    <row r="17">
      <c r="A17" s="2" t="n">
        <v>16</v>
      </c>
      <c r="B17" s="2" t="inlineStr">
        <is>
          <t>f16</t>
        </is>
      </c>
      <c r="C17" s="2" t="inlineStr">
        <is>
          <t>Challenge</t>
        </is>
      </c>
      <c r="D17" s="2" t="n">
        <v>4</v>
      </c>
      <c r="E17" s="2" t="n">
        <v>7</v>
      </c>
      <c r="F17" s="3" t="n">
        <v>0.18</v>
      </c>
      <c r="G17" s="3" t="n">
        <v>0.3</v>
      </c>
      <c r="H17" s="3">
        <f>AA17/(AA17+AB17+AC17)</f>
        <v/>
      </c>
      <c r="I17" s="4">
        <f>IF(H17&gt;=1,1,INDEX(Summary!$B$48:$B$57,MATCH(H17,Summary!$A$48:$A$57,1))+(H17-INDEX(Summary!$A$48:$A$57,MATCH(H17,Summary!$A$48:$A$57,1)))*(INDEX(Summary!$B$48:$B$57,MATCH(H17,Summary!$A$48:$A$57,1)+1)-INDEX(Summary!$B$48:$B$57,MATCH(H17,Summary!$A$48:$A$57,1)))/(INDEX(Summary!$A$48:$A$57,MATCH(H17,Summary!$A$48:$A$57,1)+1)-INDEX(Summary!$A$48:$A$57,MATCH(H17,Summary!$A$48:$A$57,1))))</f>
        <v/>
      </c>
      <c r="J17" s="2">
        <f>AND(H17&gt;=F17,H17&lt;=G17)</f>
        <v/>
      </c>
      <c r="K17" s="5" t="inlineStr">
        <is>
          <t>6x6, 6x6, 6x6, 6x6</t>
        </is>
      </c>
      <c r="L17" s="2" t="n">
        <v>4</v>
      </c>
      <c r="M17" s="2" t="n">
        <v>6</v>
      </c>
      <c r="N17" s="2" t="n">
        <v>144</v>
      </c>
      <c r="O17" s="5" t="inlineStr">
        <is>
          <t>red 30, orange 24, yellow 20, green 24, blue 22, purple 24</t>
        </is>
      </c>
      <c r="P17" s="2" t="n">
        <v>9</v>
      </c>
      <c r="Q17" s="2" t="n">
        <v>4</v>
      </c>
      <c r="R17" s="2" t="n">
        <v>3</v>
      </c>
      <c r="S17" s="2" t="n">
        <v>5</v>
      </c>
      <c r="T17" s="2">
        <f>SUM(P17:S17)</f>
        <v/>
      </c>
      <c r="U17" s="5" t="inlineStr">
        <is>
          <t>2 hidden buses, 6 connected pairs</t>
        </is>
      </c>
      <c r="V17" s="2" t="inlineStr">
        <is>
          <t>-</t>
        </is>
      </c>
      <c r="W17" s="5" t="inlineStr">
        <is>
          <t>zigzag + spiral</t>
        </is>
      </c>
      <c r="X17" s="5" t="inlineStr">
        <is>
          <t>diagonal ramps (built: straight, turned)</t>
        </is>
      </c>
      <c r="Y17" s="2" t="n">
        <v>132.2</v>
      </c>
      <c r="Z17" s="4">
        <f>Y17/2</f>
        <v/>
      </c>
      <c r="AA17" s="2" t="n">
        <v>44</v>
      </c>
      <c r="AB17" s="2" t="n">
        <v>156</v>
      </c>
      <c r="AC17" s="2" t="n">
        <v>0</v>
      </c>
      <c r="AD17" s="2" t="inlineStr">
        <is>
          <t>-</t>
        </is>
      </c>
    </row>
    <row r="18">
      <c r="A18" s="2" t="n">
        <v>17</v>
      </c>
      <c r="B18" s="2" t="inlineStr">
        <is>
          <t>f17</t>
        </is>
      </c>
      <c r="C18" s="5" t="inlineStr">
        <is>
          <t>Teach (no popup, short hint)</t>
        </is>
      </c>
      <c r="D18" s="2" t="n">
        <v>3</v>
      </c>
      <c r="E18" s="2" t="n">
        <v>4</v>
      </c>
      <c r="F18" s="3" t="n">
        <v>0.45</v>
      </c>
      <c r="G18" s="3" t="n">
        <v>0.6</v>
      </c>
      <c r="H18" s="3">
        <f>AA18/(AA18+AB18+AC18)</f>
        <v/>
      </c>
      <c r="I18" s="4">
        <f>IF(H18&gt;=1,1,INDEX(Summary!$B$48:$B$57,MATCH(H18,Summary!$A$48:$A$57,1))+(H18-INDEX(Summary!$A$48:$A$57,MATCH(H18,Summary!$A$48:$A$57,1)))*(INDEX(Summary!$B$48:$B$57,MATCH(H18,Summary!$A$48:$A$57,1)+1)-INDEX(Summary!$B$48:$B$57,MATCH(H18,Summary!$A$48:$A$57,1)))/(INDEX(Summary!$A$48:$A$57,MATCH(H18,Summary!$A$48:$A$57,1)+1)-INDEX(Summary!$A$48:$A$57,MATCH(H18,Summary!$A$48:$A$57,1))))</f>
        <v/>
      </c>
      <c r="J18" s="2">
        <f>AND(H18&gt;=F18,H18&lt;=G18)</f>
        <v/>
      </c>
      <c r="K18" s="5" t="inlineStr">
        <is>
          <t>8x5, 8x5, 8x5</t>
        </is>
      </c>
      <c r="L18" s="2" t="n">
        <v>3</v>
      </c>
      <c r="M18" s="2" t="n">
        <v>5</v>
      </c>
      <c r="N18" s="2" t="n">
        <v>120</v>
      </c>
      <c r="O18" s="5" t="inlineStr">
        <is>
          <t>red 16, yellow 26, green 26, blue 26, purple 26</t>
        </is>
      </c>
      <c r="P18" s="2" t="n">
        <v>8</v>
      </c>
      <c r="Q18" s="2" t="n">
        <v>4</v>
      </c>
      <c r="R18" s="2" t="n">
        <v>5</v>
      </c>
      <c r="S18" s="2" t="n">
        <v>2</v>
      </c>
      <c r="T18" s="2">
        <f>SUM(P18:S18)</f>
        <v/>
      </c>
      <c r="U18" s="5" t="inlineStr">
        <is>
          <t>3 connected triples</t>
        </is>
      </c>
      <c r="V18" s="5" t="inlineStr">
        <is>
          <t>Short hint: triple connected buses</t>
        </is>
      </c>
      <c r="W18" s="2" t="inlineStr">
        <is>
          <t>hairpin</t>
        </is>
      </c>
      <c r="X18" s="5" t="inlineStr">
        <is>
          <t>bleachers inside and outside the hairpin (built: straight, square to the road, straight, turned)</t>
        </is>
      </c>
      <c r="Y18" s="2" t="n">
        <v>116.7</v>
      </c>
      <c r="Z18" s="4">
        <f>Y18/2</f>
        <v/>
      </c>
      <c r="AA18" s="2" t="n">
        <v>179</v>
      </c>
      <c r="AB18" s="2" t="n">
        <v>21</v>
      </c>
      <c r="AC18" s="2" t="n">
        <v>0</v>
      </c>
      <c r="AD18" s="2" t="inlineStr">
        <is>
          <t>-</t>
        </is>
      </c>
    </row>
    <row r="19">
      <c r="A19" s="2" t="n">
        <v>18</v>
      </c>
      <c r="B19" s="2" t="inlineStr">
        <is>
          <t>f18</t>
        </is>
      </c>
      <c r="C19" s="2" t="inlineStr">
        <is>
          <t>Relax</t>
        </is>
      </c>
      <c r="D19" s="2" t="n">
        <v>3</v>
      </c>
      <c r="E19" s="2" t="n">
        <v>3</v>
      </c>
      <c r="F19" s="3" t="n">
        <v>0.55</v>
      </c>
      <c r="G19" s="3" t="n">
        <v>0.75</v>
      </c>
      <c r="H19" s="3">
        <f>AA19/(AA19+AB19+AC19)</f>
        <v/>
      </c>
      <c r="I19" s="4">
        <f>IF(H19&gt;=1,1,INDEX(Summary!$B$48:$B$57,MATCH(H19,Summary!$A$48:$A$57,1))+(H19-INDEX(Summary!$A$48:$A$57,MATCH(H19,Summary!$A$48:$A$57,1)))*(INDEX(Summary!$B$48:$B$57,MATCH(H19,Summary!$A$48:$A$57,1)+1)-INDEX(Summary!$B$48:$B$57,MATCH(H19,Summary!$A$48:$A$57,1)))/(INDEX(Summary!$A$48:$A$57,MATCH(H19,Summary!$A$48:$A$57,1)+1)-INDEX(Summary!$A$48:$A$57,MATCH(H19,Summary!$A$48:$A$57,1))))</f>
        <v/>
      </c>
      <c r="J19" s="2">
        <f>AND(H19&gt;=F19,H19&lt;=G19)</f>
        <v/>
      </c>
      <c r="K19" s="5" t="inlineStr">
        <is>
          <t>8x5, 8x5, 8x4</t>
        </is>
      </c>
      <c r="L19" s="2" t="n">
        <v>3</v>
      </c>
      <c r="M19" s="2" t="n">
        <v>5</v>
      </c>
      <c r="N19" s="2" t="n">
        <v>112</v>
      </c>
      <c r="O19" s="5" t="inlineStr">
        <is>
          <t>red 24, yellow 26, green 26, blue 20, purple 16</t>
        </is>
      </c>
      <c r="P19" s="2" t="n">
        <v>0</v>
      </c>
      <c r="Q19" s="2" t="n">
        <v>6</v>
      </c>
      <c r="R19" s="2" t="n">
        <v>5</v>
      </c>
      <c r="S19" s="2" t="n">
        <v>3</v>
      </c>
      <c r="T19" s="2">
        <f>SUM(P19:S19)</f>
        <v/>
      </c>
      <c r="U19" s="2" t="inlineStr">
        <is>
          <t>-</t>
        </is>
      </c>
      <c r="V19" s="2" t="inlineStr">
        <is>
          <t>-</t>
        </is>
      </c>
      <c r="W19" s="5" t="inlineStr">
        <is>
          <t>long smooth curve</t>
        </is>
      </c>
      <c r="X19" s="5" t="inlineStr">
        <is>
          <t>L-shaped ramps (built: straight, square to the road, straight, turned)</t>
        </is>
      </c>
      <c r="Y19" s="2" t="n">
        <v>70.7</v>
      </c>
      <c r="Z19" s="4">
        <f>Y19/2</f>
        <v/>
      </c>
      <c r="AA19" s="2" t="n">
        <v>200</v>
      </c>
      <c r="AB19" s="2" t="n">
        <v>0</v>
      </c>
      <c r="AC19" s="2" t="n">
        <v>0</v>
      </c>
      <c r="AD19" s="5" t="inlineStr">
        <is>
          <t>ramp 3: shape L did not fit, built as diag</t>
        </is>
      </c>
    </row>
    <row r="20">
      <c r="A20" s="2" t="n">
        <v>19</v>
      </c>
      <c r="B20" s="2" t="inlineStr">
        <is>
          <t>f19</t>
        </is>
      </c>
      <c r="C20" s="2" t="inlineStr">
        <is>
          <t>Practice</t>
        </is>
      </c>
      <c r="D20" s="2" t="n">
        <v>3</v>
      </c>
      <c r="E20" s="2" t="n">
        <v>6</v>
      </c>
      <c r="F20" s="3" t="n">
        <v>0.25</v>
      </c>
      <c r="G20" s="3" t="n">
        <v>0.4</v>
      </c>
      <c r="H20" s="3">
        <f>AA20/(AA20+AB20+AC20)</f>
        <v/>
      </c>
      <c r="I20" s="4">
        <f>IF(H20&gt;=1,1,INDEX(Summary!$B$48:$B$57,MATCH(H20,Summary!$A$48:$A$57,1))+(H20-INDEX(Summary!$A$48:$A$57,MATCH(H20,Summary!$A$48:$A$57,1)))*(INDEX(Summary!$B$48:$B$57,MATCH(H20,Summary!$A$48:$A$57,1)+1)-INDEX(Summary!$B$48:$B$57,MATCH(H20,Summary!$A$48:$A$57,1)))/(INDEX(Summary!$A$48:$A$57,MATCH(H20,Summary!$A$48:$A$57,1)+1)-INDEX(Summary!$A$48:$A$57,MATCH(H20,Summary!$A$48:$A$57,1))))</f>
        <v/>
      </c>
      <c r="J20" s="2">
        <f>AND(H20&gt;=F20,H20&lt;=G20)</f>
        <v/>
      </c>
      <c r="K20" s="5" t="inlineStr">
        <is>
          <t>8x5, 8x5, 6x6, 9x4</t>
        </is>
      </c>
      <c r="L20" s="2" t="n">
        <v>4</v>
      </c>
      <c r="M20" s="2" t="n">
        <v>6</v>
      </c>
      <c r="N20" s="2" t="n">
        <v>152</v>
      </c>
      <c r="O20" s="5" t="inlineStr">
        <is>
          <t>red 26, orange 28, yellow 22, green 30, blue 24, purple 22</t>
        </is>
      </c>
      <c r="P20" s="2" t="n">
        <v>4</v>
      </c>
      <c r="Q20" s="2" t="n">
        <v>4</v>
      </c>
      <c r="R20" s="2" t="n">
        <v>2</v>
      </c>
      <c r="S20" s="2" t="n">
        <v>8</v>
      </c>
      <c r="T20" s="2">
        <f>SUM(P20:S20)</f>
        <v/>
      </c>
      <c r="U20" s="5" t="inlineStr">
        <is>
          <t>2 connected pairs, 2 connected triples</t>
        </is>
      </c>
      <c r="V20" s="2" t="inlineStr">
        <is>
          <t>-</t>
        </is>
      </c>
      <c r="W20" s="5" t="inlineStr">
        <is>
          <t>double spiral</t>
        </is>
      </c>
      <c r="X20" s="5" t="inlineStr">
        <is>
          <t>arc and diagonal ramps between the spirals (built: straight, square to the road, straight, turned)</t>
        </is>
      </c>
      <c r="Y20" s="2" t="n">
        <v>136.8</v>
      </c>
      <c r="Z20" s="4">
        <f>Y20/2</f>
        <v/>
      </c>
      <c r="AA20" s="2" t="n">
        <v>55</v>
      </c>
      <c r="AB20" s="2" t="n">
        <v>68</v>
      </c>
      <c r="AC20" s="2" t="n">
        <v>77</v>
      </c>
      <c r="AD20" s="5" t="inlineStr">
        <is>
          <t>ramp 3: 9x4 did not fit, built as 6x6</t>
        </is>
      </c>
    </row>
    <row r="21">
      <c r="A21" s="2" t="n">
        <v>20</v>
      </c>
      <c r="B21" s="2" t="inlineStr">
        <is>
          <t>f20</t>
        </is>
      </c>
      <c r="C21" s="2" t="inlineStr">
        <is>
          <t>Milestone</t>
        </is>
      </c>
      <c r="D21" s="2" t="n">
        <v>4</v>
      </c>
      <c r="E21" s="2" t="n">
        <v>8</v>
      </c>
      <c r="F21" s="3" t="n">
        <v>0.12</v>
      </c>
      <c r="G21" s="3" t="n">
        <v>0.22</v>
      </c>
      <c r="H21" s="3">
        <f>AA21/(AA21+AB21+AC21)</f>
        <v/>
      </c>
      <c r="I21" s="4">
        <f>IF(H21&gt;=1,1,INDEX(Summary!$B$48:$B$57,MATCH(H21,Summary!$A$48:$A$57,1))+(H21-INDEX(Summary!$A$48:$A$57,MATCH(H21,Summary!$A$48:$A$57,1)))*(INDEX(Summary!$B$48:$B$57,MATCH(H21,Summary!$A$48:$A$57,1)+1)-INDEX(Summary!$B$48:$B$57,MATCH(H21,Summary!$A$48:$A$57,1)))/(INDEX(Summary!$A$48:$A$57,MATCH(H21,Summary!$A$48:$A$57,1)+1)-INDEX(Summary!$A$48:$A$57,MATCH(H21,Summary!$A$48:$A$57,1))))</f>
        <v/>
      </c>
      <c r="J21" s="2">
        <f>AND(H21&gt;=F21,H21&lt;=G21)</f>
        <v/>
      </c>
      <c r="K21" s="5" t="inlineStr">
        <is>
          <t>4x11, 4x11, 4x11, 4x11</t>
        </is>
      </c>
      <c r="L21" s="2" t="n">
        <v>4</v>
      </c>
      <c r="M21" s="2" t="n">
        <v>6</v>
      </c>
      <c r="N21" s="2" t="n">
        <v>176</v>
      </c>
      <c r="O21" s="5" t="inlineStr">
        <is>
          <t>red 28, orange 38, yellow 32, green 26, blue 28, purple 24</t>
        </is>
      </c>
      <c r="P21" s="2" t="n">
        <v>6</v>
      </c>
      <c r="Q21" s="2" t="n">
        <v>6</v>
      </c>
      <c r="R21" s="2" t="n">
        <v>7</v>
      </c>
      <c r="S21" s="2" t="n">
        <v>5</v>
      </c>
      <c r="T21" s="2">
        <f>SUM(P21:S21)</f>
        <v/>
      </c>
      <c r="U21" s="5" t="inlineStr">
        <is>
          <t>2 hidden buses, 1 connected pair, 6 connected triples</t>
        </is>
      </c>
      <c r="V21" s="2" t="inlineStr">
        <is>
          <t>-</t>
        </is>
      </c>
      <c r="W21" s="5" t="inlineStr">
        <is>
          <t>long winding road</t>
        </is>
      </c>
      <c r="X21" s="5" t="inlineStr">
        <is>
          <t>wide diagonal ramps in the bends (built: straight, turned)</t>
        </is>
      </c>
      <c r="Y21" s="2" t="n">
        <v>161.3</v>
      </c>
      <c r="Z21" s="4">
        <f>Y21/2</f>
        <v/>
      </c>
      <c r="AA21" s="2" t="n">
        <v>40</v>
      </c>
      <c r="AB21" s="2" t="n">
        <v>160</v>
      </c>
      <c r="AC21" s="2" t="n">
        <v>0</v>
      </c>
      <c r="AD21" s="5" t="inlineStr">
        <is>
          <t>ramp 1: 11x4 did not fit, built as 4x11; ramp 2: 11x4 did not fit, built as 4x11; ramp 3: 11x4 did not fit, built as 4x11; ramp 4: 11x4 did not fit, built as 4x11</t>
        </is>
      </c>
    </row>
    <row r="22">
      <c r="A22" s="2" t="n">
        <v>21</v>
      </c>
      <c r="B22" s="2" t="inlineStr">
        <is>
          <t>f21</t>
        </is>
      </c>
      <c r="C22" s="5" t="inlineStr">
        <is>
          <t>Teach (combo, no popup)</t>
        </is>
      </c>
      <c r="D22" s="2" t="n">
        <v>3</v>
      </c>
      <c r="E22" s="2" t="n">
        <v>5</v>
      </c>
      <c r="F22" s="3" t="n">
        <v>0.35</v>
      </c>
      <c r="G22" s="3" t="n">
        <v>0.5</v>
      </c>
      <c r="H22" s="3">
        <f>AA22/(AA22+AB22+AC22)</f>
        <v/>
      </c>
      <c r="I22" s="4">
        <f>IF(H22&gt;=1,1,INDEX(Summary!$B$48:$B$57,MATCH(H22,Summary!$A$48:$A$57,1))+(H22-INDEX(Summary!$A$48:$A$57,MATCH(H22,Summary!$A$48:$A$57,1)))*(INDEX(Summary!$B$48:$B$57,MATCH(H22,Summary!$A$48:$A$57,1)+1)-INDEX(Summary!$B$48:$B$57,MATCH(H22,Summary!$A$48:$A$57,1)))/(INDEX(Summary!$A$48:$A$57,MATCH(H22,Summary!$A$48:$A$57,1)+1)-INDEX(Summary!$A$48:$A$57,MATCH(H22,Summary!$A$48:$A$57,1))))</f>
        <v/>
      </c>
      <c r="J22" s="2">
        <f>AND(H22&gt;=F22,H22&lt;=G22)</f>
        <v/>
      </c>
      <c r="K22" s="5" t="inlineStr">
        <is>
          <t>8x6, 8x6, 11x4</t>
        </is>
      </c>
      <c r="L22" s="2" t="n">
        <v>3</v>
      </c>
      <c r="M22" s="2" t="n">
        <v>6</v>
      </c>
      <c r="N22" s="2" t="n">
        <v>140</v>
      </c>
      <c r="O22" s="5" t="inlineStr">
        <is>
          <t>red 22, orange 26, yellow 24, green 18, blue 26, purple 24</t>
        </is>
      </c>
      <c r="P22" s="2" t="n">
        <v>6</v>
      </c>
      <c r="Q22" s="2" t="n">
        <v>8</v>
      </c>
      <c r="R22" s="2" t="n">
        <v>1</v>
      </c>
      <c r="S22" s="2" t="n">
        <v>5</v>
      </c>
      <c r="T22" s="2">
        <f>SUM(P22:S22)</f>
        <v/>
      </c>
      <c r="U22" s="5" t="inlineStr">
        <is>
          <t>3 hidden buses, 6 connected pairs</t>
        </is>
      </c>
      <c r="V22" s="2" t="inlineStr">
        <is>
          <t>-</t>
        </is>
      </c>
      <c r="W22" s="2" t="inlineStr">
        <is>
          <t>S-curve</t>
        </is>
      </c>
      <c r="X22" s="5" t="inlineStr">
        <is>
          <t>two square ramps and a wedge (built: straight, square to the road, straight, turned)</t>
        </is>
      </c>
      <c r="Y22" s="2" t="n">
        <v>94.09999999999999</v>
      </c>
      <c r="Z22" s="4">
        <f>Y22/2</f>
        <v/>
      </c>
      <c r="AA22" s="2" t="n">
        <v>197</v>
      </c>
      <c r="AB22" s="2" t="n">
        <v>3</v>
      </c>
      <c r="AC22" s="2" t="n">
        <v>0</v>
      </c>
      <c r="AD22" s="2" t="inlineStr">
        <is>
          <t>-</t>
        </is>
      </c>
    </row>
    <row r="23">
      <c r="A23" s="2" t="n">
        <v>22</v>
      </c>
      <c r="B23" s="2" t="inlineStr">
        <is>
          <t>f22</t>
        </is>
      </c>
      <c r="C23" s="2" t="inlineStr">
        <is>
          <t>Relax</t>
        </is>
      </c>
      <c r="D23" s="2" t="n">
        <v>2</v>
      </c>
      <c r="E23" s="2" t="n">
        <v>3</v>
      </c>
      <c r="F23" s="3" t="n">
        <v>0.55</v>
      </c>
      <c r="G23" s="3" t="n">
        <v>0.75</v>
      </c>
      <c r="H23" s="3">
        <f>AA23/(AA23+AB23+AC23)</f>
        <v/>
      </c>
      <c r="I23" s="4">
        <f>IF(H23&gt;=1,1,INDEX(Summary!$B$48:$B$57,MATCH(H23,Summary!$A$48:$A$57,1))+(H23-INDEX(Summary!$A$48:$A$57,MATCH(H23,Summary!$A$48:$A$57,1)))*(INDEX(Summary!$B$48:$B$57,MATCH(H23,Summary!$A$48:$A$57,1)+1)-INDEX(Summary!$B$48:$B$57,MATCH(H23,Summary!$A$48:$A$57,1)))/(INDEX(Summary!$A$48:$A$57,MATCH(H23,Summary!$A$48:$A$57,1)+1)-INDEX(Summary!$A$48:$A$57,MATCH(H23,Summary!$A$48:$A$57,1))))</f>
        <v/>
      </c>
      <c r="J23" s="2">
        <f>AND(H23&gt;=F23,H23&lt;=G23)</f>
        <v/>
      </c>
      <c r="K23" s="2" t="inlineStr">
        <is>
          <t>16x4, 16x4</t>
        </is>
      </c>
      <c r="L23" s="2" t="n">
        <v>2</v>
      </c>
      <c r="M23" s="2" t="n">
        <v>5</v>
      </c>
      <c r="N23" s="2" t="n">
        <v>128</v>
      </c>
      <c r="O23" s="5" t="inlineStr">
        <is>
          <t>red 24, yellow 20, green 24, blue 32, purple 28</t>
        </is>
      </c>
      <c r="P23" s="2" t="n">
        <v>0</v>
      </c>
      <c r="Q23" s="2" t="n">
        <v>0</v>
      </c>
      <c r="R23" s="2" t="n">
        <v>7</v>
      </c>
      <c r="S23" s="2" t="n">
        <v>6</v>
      </c>
      <c r="T23" s="2">
        <f>SUM(P23:S23)</f>
        <v/>
      </c>
      <c r="U23" s="5" t="inlineStr">
        <is>
          <t>1 hidden bus</t>
        </is>
      </c>
      <c r="V23" s="2" t="inlineStr">
        <is>
          <t>-</t>
        </is>
      </c>
      <c r="W23" s="5" t="inlineStr">
        <is>
          <t>gentle curve</t>
        </is>
      </c>
      <c r="X23" s="5" t="inlineStr">
        <is>
          <t>wide fan ramps at an angle (built: straight, turned)</t>
        </is>
      </c>
      <c r="Y23" s="2" t="n">
        <v>72.8</v>
      </c>
      <c r="Z23" s="4">
        <f>Y23/2</f>
        <v/>
      </c>
      <c r="AA23" s="2" t="n">
        <v>200</v>
      </c>
      <c r="AB23" s="2" t="n">
        <v>0</v>
      </c>
      <c r="AC23" s="2" t="n">
        <v>0</v>
      </c>
      <c r="AD23" s="2" t="inlineStr">
        <is>
          <t>-</t>
        </is>
      </c>
    </row>
    <row r="24">
      <c r="A24" s="2" t="n">
        <v>23</v>
      </c>
      <c r="B24" s="2" t="inlineStr">
        <is>
          <t>f23</t>
        </is>
      </c>
      <c r="C24" s="2" t="inlineStr">
        <is>
          <t>Challenge</t>
        </is>
      </c>
      <c r="D24" s="2" t="n">
        <v>4</v>
      </c>
      <c r="E24" s="2" t="n">
        <v>7</v>
      </c>
      <c r="F24" s="3" t="n">
        <v>0.18</v>
      </c>
      <c r="G24" s="3" t="n">
        <v>0.3</v>
      </c>
      <c r="H24" s="3">
        <f>AA24/(AA24+AB24+AC24)</f>
        <v/>
      </c>
      <c r="I24" s="4">
        <f>IF(H24&gt;=1,1,INDEX(Summary!$B$48:$B$57,MATCH(H24,Summary!$A$48:$A$57,1))+(H24-INDEX(Summary!$A$48:$A$57,MATCH(H24,Summary!$A$48:$A$57,1)))*(INDEX(Summary!$B$48:$B$57,MATCH(H24,Summary!$A$48:$A$57,1)+1)-INDEX(Summary!$B$48:$B$57,MATCH(H24,Summary!$A$48:$A$57,1)))/(INDEX(Summary!$A$48:$A$57,MATCH(H24,Summary!$A$48:$A$57,1)+1)-INDEX(Summary!$A$48:$A$57,MATCH(H24,Summary!$A$48:$A$57,1))))</f>
        <v/>
      </c>
      <c r="J24" s="2">
        <f>AND(H24&gt;=F24,H24&lt;=G24)</f>
        <v/>
      </c>
      <c r="K24" s="5" t="inlineStr">
        <is>
          <t>7x6, 7x6, 7x6, 7x6</t>
        </is>
      </c>
      <c r="L24" s="2" t="n">
        <v>4</v>
      </c>
      <c r="M24" s="2" t="n">
        <v>6</v>
      </c>
      <c r="N24" s="2" t="n">
        <v>168</v>
      </c>
      <c r="O24" s="5" t="inlineStr">
        <is>
          <t>red 24, orange 24, yellow 28, green 24, blue 32, purple 36</t>
        </is>
      </c>
      <c r="P24" s="2" t="n">
        <v>10</v>
      </c>
      <c r="Q24" s="2" t="n">
        <v>4</v>
      </c>
      <c r="R24" s="2" t="n">
        <v>1</v>
      </c>
      <c r="S24" s="2" t="n">
        <v>8</v>
      </c>
      <c r="T24" s="2">
        <f>SUM(P24:S24)</f>
        <v/>
      </c>
      <c r="U24" s="5" t="inlineStr">
        <is>
          <t>3 hidden buses, 6 connected pairs, tunnel (orange, 8)</t>
        </is>
      </c>
      <c r="V24" s="2" t="inlineStr">
        <is>
          <t>-</t>
        </is>
      </c>
      <c r="W24" s="2" t="inlineStr">
        <is>
          <t>zigzag</t>
        </is>
      </c>
      <c r="X24" s="5" t="inlineStr">
        <is>
          <t>deep bleachers outside the corners (built: straight, turned)</t>
        </is>
      </c>
      <c r="Y24" s="2" t="n">
        <v>119.5</v>
      </c>
      <c r="Z24" s="4">
        <f>Y24/2</f>
        <v/>
      </c>
      <c r="AA24" s="2" t="n">
        <v>43</v>
      </c>
      <c r="AB24" s="2" t="n">
        <v>17</v>
      </c>
      <c r="AC24" s="2" t="n">
        <v>140</v>
      </c>
      <c r="AD24" s="2" t="inlineStr">
        <is>
          <t>-</t>
        </is>
      </c>
    </row>
    <row r="25">
      <c r="A25" s="2" t="n">
        <v>24</v>
      </c>
      <c r="B25" s="2" t="inlineStr">
        <is>
          <t>f24</t>
        </is>
      </c>
      <c r="C25" s="2" t="inlineStr">
        <is>
          <t>Fun</t>
        </is>
      </c>
      <c r="D25" s="2" t="n">
        <v>3</v>
      </c>
      <c r="E25" s="2" t="n">
        <v>4</v>
      </c>
      <c r="F25" s="3" t="n">
        <v>0.45</v>
      </c>
      <c r="G25" s="3" t="n">
        <v>0.6</v>
      </c>
      <c r="H25" s="3">
        <f>AA25/(AA25+AB25+AC25)</f>
        <v/>
      </c>
      <c r="I25" s="4">
        <f>IF(H25&gt;=1,1,INDEX(Summary!$B$48:$B$57,MATCH(H25,Summary!$A$48:$A$57,1))+(H25-INDEX(Summary!$A$48:$A$57,MATCH(H25,Summary!$A$48:$A$57,1)))*(INDEX(Summary!$B$48:$B$57,MATCH(H25,Summary!$A$48:$A$57,1)+1)-INDEX(Summary!$B$48:$B$57,MATCH(H25,Summary!$A$48:$A$57,1)))/(INDEX(Summary!$A$48:$A$57,MATCH(H25,Summary!$A$48:$A$57,1)+1)-INDEX(Summary!$A$48:$A$57,MATCH(H25,Summary!$A$48:$A$57,1))))</f>
        <v/>
      </c>
      <c r="J25" s="2">
        <f>AND(H25&gt;=F25,H25&lt;=G25)</f>
        <v/>
      </c>
      <c r="K25" s="5" t="inlineStr">
        <is>
          <t>8x4, 8x4, 8x4, 8x4, 8x8</t>
        </is>
      </c>
      <c r="L25" s="2" t="n">
        <v>5</v>
      </c>
      <c r="M25" s="2" t="n">
        <v>6</v>
      </c>
      <c r="N25" s="2" t="n">
        <v>192</v>
      </c>
      <c r="O25" s="5" t="inlineStr">
        <is>
          <t>red 32, orange 36, yellow 28, green 28, blue 32, purple 36</t>
        </is>
      </c>
      <c r="P25" s="2" t="n">
        <v>0</v>
      </c>
      <c r="Q25" s="2" t="n">
        <v>0</v>
      </c>
      <c r="R25" s="2" t="n">
        <v>18</v>
      </c>
      <c r="S25" s="2" t="n">
        <v>4</v>
      </c>
      <c r="T25" s="2">
        <f>SUM(P25:S25)</f>
        <v/>
      </c>
      <c r="U25" s="5" t="inlineStr">
        <is>
          <t>2 connected pairs</t>
        </is>
      </c>
      <c r="V25" s="2" t="inlineStr">
        <is>
          <t>-</t>
        </is>
      </c>
      <c r="W25" s="5" t="inlineStr">
        <is>
          <t>straight road with a wave</t>
        </is>
      </c>
      <c r="X25" s="5" t="inlineStr">
        <is>
          <t>four small ramps and one big ramp near the end (built: straight, square to the road, straight, turned)</t>
        </is>
      </c>
      <c r="Y25" s="2" t="n">
        <v>95.59999999999999</v>
      </c>
      <c r="Z25" s="4">
        <f>Y25/2</f>
        <v/>
      </c>
      <c r="AA25" s="2" t="n">
        <v>200</v>
      </c>
      <c r="AB25" s="2" t="n">
        <v>0</v>
      </c>
      <c r="AC25" s="2" t="n">
        <v>0</v>
      </c>
      <c r="AD25" s="2" t="inlineStr">
        <is>
          <t>-</t>
        </is>
      </c>
    </row>
    <row r="26">
      <c r="A26" s="2" t="n">
        <v>25</v>
      </c>
      <c r="B26" s="2" t="inlineStr">
        <is>
          <t>f25</t>
        </is>
      </c>
      <c r="C26" s="2" t="inlineStr">
        <is>
          <t>Challenge</t>
        </is>
      </c>
      <c r="D26" s="2" t="n">
        <v>3</v>
      </c>
      <c r="E26" s="2" t="n">
        <v>8</v>
      </c>
      <c r="F26" s="3" t="n">
        <v>0.12</v>
      </c>
      <c r="G26" s="3" t="n">
        <v>0.22</v>
      </c>
      <c r="H26" s="3">
        <f>AA26/(AA26+AB26+AC26)</f>
        <v/>
      </c>
      <c r="I26" s="4">
        <f>IF(H26&gt;=1,1,INDEX(Summary!$B$48:$B$57,MATCH(H26,Summary!$A$48:$A$57,1))+(H26-INDEX(Summary!$A$48:$A$57,MATCH(H26,Summary!$A$48:$A$57,1)))*(INDEX(Summary!$B$48:$B$57,MATCH(H26,Summary!$A$48:$A$57,1)+1)-INDEX(Summary!$B$48:$B$57,MATCH(H26,Summary!$A$48:$A$57,1)))/(INDEX(Summary!$A$48:$A$57,MATCH(H26,Summary!$A$48:$A$57,1)+1)-INDEX(Summary!$A$48:$A$57,MATCH(H26,Summary!$A$48:$A$57,1))))</f>
        <v/>
      </c>
      <c r="J26" s="2">
        <f>AND(H26&gt;=F26,H26&lt;=G26)</f>
        <v/>
      </c>
      <c r="K26" s="5" t="inlineStr">
        <is>
          <t>8x6, 8x6, 8x6, 4x12</t>
        </is>
      </c>
      <c r="L26" s="2" t="n">
        <v>4</v>
      </c>
      <c r="M26" s="2" t="n">
        <v>7</v>
      </c>
      <c r="N26" s="2" t="n">
        <v>192</v>
      </c>
      <c r="O26" s="5" t="inlineStr">
        <is>
          <t>red 24, orange 24, yellow 34, green 28, cyan 28, blue 28, purple 26</t>
        </is>
      </c>
      <c r="P26" s="2" t="n">
        <v>7</v>
      </c>
      <c r="Q26" s="2" t="n">
        <v>8</v>
      </c>
      <c r="R26" s="2" t="n">
        <v>4</v>
      </c>
      <c r="S26" s="2" t="n">
        <v>7</v>
      </c>
      <c r="T26" s="2">
        <f>SUM(P26:S26)</f>
        <v/>
      </c>
      <c r="U26" s="5" t="inlineStr">
        <is>
          <t>3 hidden buses, 3 connected triples, tunnel (green, 8)</t>
        </is>
      </c>
      <c r="V26" s="2" t="inlineStr">
        <is>
          <t>-</t>
        </is>
      </c>
      <c r="W26" s="5" t="inlineStr">
        <is>
          <t>spiral + hairpin</t>
        </is>
      </c>
      <c r="X26" s="5" t="inlineStr">
        <is>
          <t>arc ramps (built: straight, square to the road, straight, turned)</t>
        </is>
      </c>
      <c r="Y26" s="2" t="n">
        <v>228.7</v>
      </c>
      <c r="Z26" s="4">
        <f>Y26/2</f>
        <v/>
      </c>
      <c r="AA26" s="2" t="n">
        <v>33</v>
      </c>
      <c r="AB26" s="2" t="n">
        <v>41</v>
      </c>
      <c r="AC26" s="2" t="n">
        <v>126</v>
      </c>
      <c r="AD26" s="2" t="inlineStr">
        <is>
          <t>-</t>
        </is>
      </c>
    </row>
    <row r="27">
      <c r="A27" s="2" t="n">
        <v>26</v>
      </c>
      <c r="B27" s="2" t="inlineStr">
        <is>
          <t>f26</t>
        </is>
      </c>
      <c r="C27" s="5" t="inlineStr">
        <is>
          <t>Teach + POPUP</t>
        </is>
      </c>
      <c r="D27" s="2" t="n">
        <v>3</v>
      </c>
      <c r="E27" s="2" t="n">
        <v>3</v>
      </c>
      <c r="F27" s="3" t="n">
        <v>0.55</v>
      </c>
      <c r="G27" s="3" t="n">
        <v>0.75</v>
      </c>
      <c r="H27" s="3">
        <f>AA27/(AA27+AB27+AC27)</f>
        <v/>
      </c>
      <c r="I27" s="4">
        <f>IF(H27&gt;=1,1,INDEX(Summary!$B$48:$B$57,MATCH(H27,Summary!$A$48:$A$57,1))+(H27-INDEX(Summary!$A$48:$A$57,MATCH(H27,Summary!$A$48:$A$57,1)))*(INDEX(Summary!$B$48:$B$57,MATCH(H27,Summary!$A$48:$A$57,1)+1)-INDEX(Summary!$B$48:$B$57,MATCH(H27,Summary!$A$48:$A$57,1)))/(INDEX(Summary!$A$48:$A$57,MATCH(H27,Summary!$A$48:$A$57,1)+1)-INDEX(Summary!$A$48:$A$57,MATCH(H27,Summary!$A$48:$A$57,1))))</f>
        <v/>
      </c>
      <c r="J27" s="2">
        <f>AND(H27&gt;=F27,H27&lt;=G27)</f>
        <v/>
      </c>
      <c r="K27" s="5" t="inlineStr">
        <is>
          <t>8x6, 8x6, 8x6</t>
        </is>
      </c>
      <c r="L27" s="2" t="n">
        <v>3</v>
      </c>
      <c r="M27" s="2" t="n">
        <v>6</v>
      </c>
      <c r="N27" s="2" t="n">
        <v>144</v>
      </c>
      <c r="O27" s="5" t="inlineStr">
        <is>
          <t>red 32, orange 24, yellow 18, green 24, blue 22, purple 24</t>
        </is>
      </c>
      <c r="P27" s="2" t="n">
        <v>0</v>
      </c>
      <c r="Q27" s="2" t="n">
        <v>8</v>
      </c>
      <c r="R27" s="2" t="n">
        <v>3</v>
      </c>
      <c r="S27" s="2" t="n">
        <v>6</v>
      </c>
      <c r="T27" s="2">
        <f>SUM(P27:S27)</f>
        <v/>
      </c>
      <c r="U27" s="5" t="inlineStr">
        <is>
          <t>tunnel (blue, 6), tunnel (purple, 6), tunnel (blue, 6)</t>
        </is>
      </c>
      <c r="V27" s="5" t="inlineStr">
        <is>
          <t>Intro popup: Colorful Tunnel</t>
        </is>
      </c>
      <c r="W27" s="5" t="inlineStr">
        <is>
          <t>gentle curve</t>
        </is>
      </c>
      <c r="X27" s="5" t="inlineStr">
        <is>
          <t>diagonal ramps (built: straight, turned)</t>
        </is>
      </c>
      <c r="Y27" s="2" t="n">
        <v>82</v>
      </c>
      <c r="Z27" s="4">
        <f>Y27/2</f>
        <v/>
      </c>
      <c r="AA27" s="2" t="n">
        <v>200</v>
      </c>
      <c r="AB27" s="2" t="n">
        <v>0</v>
      </c>
      <c r="AC27" s="2" t="n">
        <v>0</v>
      </c>
      <c r="AD27" s="2" t="inlineStr">
        <is>
          <t>-</t>
        </is>
      </c>
    </row>
    <row r="28">
      <c r="A28" s="2" t="n">
        <v>27</v>
      </c>
      <c r="B28" s="2" t="inlineStr">
        <is>
          <t>f27</t>
        </is>
      </c>
      <c r="C28" s="2" t="inlineStr">
        <is>
          <t>Practice</t>
        </is>
      </c>
      <c r="D28" s="2" t="n">
        <v>3</v>
      </c>
      <c r="E28" s="2" t="n">
        <v>6</v>
      </c>
      <c r="F28" s="3" t="n">
        <v>0.25</v>
      </c>
      <c r="G28" s="3" t="n">
        <v>0.4</v>
      </c>
      <c r="H28" s="3">
        <f>AA28/(AA28+AB28+AC28)</f>
        <v/>
      </c>
      <c r="I28" s="4">
        <f>IF(H28&gt;=1,1,INDEX(Summary!$B$48:$B$57,MATCH(H28,Summary!$A$48:$A$57,1))+(H28-INDEX(Summary!$A$48:$A$57,MATCH(H28,Summary!$A$48:$A$57,1)))*(INDEX(Summary!$B$48:$B$57,MATCH(H28,Summary!$A$48:$A$57,1)+1)-INDEX(Summary!$B$48:$B$57,MATCH(H28,Summary!$A$48:$A$57,1)))/(INDEX(Summary!$A$48:$A$57,MATCH(H28,Summary!$A$48:$A$57,1)+1)-INDEX(Summary!$A$48:$A$57,MATCH(H28,Summary!$A$48:$A$57,1))))</f>
        <v/>
      </c>
      <c r="J28" s="2">
        <f>AND(H28&gt;=F28,H28&lt;=G28)</f>
        <v/>
      </c>
      <c r="K28" s="5" t="inlineStr">
        <is>
          <t>11x4, 11x4, 11x4, 4x11</t>
        </is>
      </c>
      <c r="L28" s="2" t="n">
        <v>4</v>
      </c>
      <c r="M28" s="2" t="n">
        <v>6</v>
      </c>
      <c r="N28" s="2" t="n">
        <v>176</v>
      </c>
      <c r="O28" s="5" t="inlineStr">
        <is>
          <t>red 26, orange 24, yellow 38, green 34, blue 26, purple 28</t>
        </is>
      </c>
      <c r="P28" s="2" t="n">
        <v>3</v>
      </c>
      <c r="Q28" s="2" t="n">
        <v>4</v>
      </c>
      <c r="R28" s="2" t="n">
        <v>4</v>
      </c>
      <c r="S28" s="2" t="n">
        <v>9</v>
      </c>
      <c r="T28" s="2">
        <f>SUM(P28:S28)</f>
        <v/>
      </c>
      <c r="U28" s="5" t="inlineStr">
        <is>
          <t>2 hidden buses, tunnel (green, 8), tunnel (orange, 8)</t>
        </is>
      </c>
      <c r="V28" s="2" t="inlineStr">
        <is>
          <t>-</t>
        </is>
      </c>
      <c r="W28" s="2" t="inlineStr">
        <is>
          <t>S-curve</t>
        </is>
      </c>
      <c r="X28" s="5" t="inlineStr">
        <is>
          <t>long wide bleachers (built: straight, square to the road, straight, turned)</t>
        </is>
      </c>
      <c r="Y28" s="2" t="n">
        <v>139.7</v>
      </c>
      <c r="Z28" s="4">
        <f>Y28/2</f>
        <v/>
      </c>
      <c r="AA28" s="2" t="n">
        <v>51</v>
      </c>
      <c r="AB28" s="2" t="n">
        <v>149</v>
      </c>
      <c r="AC28" s="2" t="n">
        <v>0</v>
      </c>
      <c r="AD28" s="5" t="inlineStr">
        <is>
          <t>ramp 1: shape perp did not fit, built as diag; ramp 2: shape perp did not fit, built as diag; ramp 3: shape perp did not fit, built as diag; ramp 4: 11x4 did not fit, built as 4x11</t>
        </is>
      </c>
    </row>
    <row r="29">
      <c r="A29" s="2" t="n">
        <v>28</v>
      </c>
      <c r="B29" s="2" t="inlineStr">
        <is>
          <t>f28</t>
        </is>
      </c>
      <c r="C29" s="2" t="inlineStr">
        <is>
          <t>Relax</t>
        </is>
      </c>
      <c r="D29" s="2" t="n">
        <v>3</v>
      </c>
      <c r="E29" s="2" t="n">
        <v>3</v>
      </c>
      <c r="F29" s="3" t="n">
        <v>0.55</v>
      </c>
      <c r="G29" s="3" t="n">
        <v>0.75</v>
      </c>
      <c r="H29" s="3">
        <f>AA29/(AA29+AB29+AC29)</f>
        <v/>
      </c>
      <c r="I29" s="4">
        <f>IF(H29&gt;=1,1,INDEX(Summary!$B$48:$B$57,MATCH(H29,Summary!$A$48:$A$57,1))+(H29-INDEX(Summary!$A$48:$A$57,MATCH(H29,Summary!$A$48:$A$57,1)))*(INDEX(Summary!$B$48:$B$57,MATCH(H29,Summary!$A$48:$A$57,1)+1)-INDEX(Summary!$B$48:$B$57,MATCH(H29,Summary!$A$48:$A$57,1)))/(INDEX(Summary!$A$48:$A$57,MATCH(H29,Summary!$A$48:$A$57,1)+1)-INDEX(Summary!$A$48:$A$57,MATCH(H29,Summary!$A$48:$A$57,1))))</f>
        <v/>
      </c>
      <c r="J29" s="2">
        <f>AND(H29&gt;=F29,H29&lt;=G29)</f>
        <v/>
      </c>
      <c r="K29" s="5" t="inlineStr">
        <is>
          <t>8x6, 8x6, 8x7</t>
        </is>
      </c>
      <c r="L29" s="2" t="n">
        <v>3</v>
      </c>
      <c r="M29" s="2" t="n">
        <v>6</v>
      </c>
      <c r="N29" s="2" t="n">
        <v>152</v>
      </c>
      <c r="O29" s="5" t="inlineStr">
        <is>
          <t>red 28, orange 28, yellow 28, green 28, blue 20, purple 20</t>
        </is>
      </c>
      <c r="P29" s="2" t="n">
        <v>0</v>
      </c>
      <c r="Q29" s="2" t="n">
        <v>0</v>
      </c>
      <c r="R29" s="2" t="n">
        <v>10</v>
      </c>
      <c r="S29" s="2" t="n">
        <v>6</v>
      </c>
      <c r="T29" s="2">
        <f>SUM(P29:S29)</f>
        <v/>
      </c>
      <c r="U29" s="5" t="inlineStr">
        <is>
          <t>tunnel (yellow, 6), tunnel (green, 6)</t>
        </is>
      </c>
      <c r="V29" s="2" t="inlineStr">
        <is>
          <t>-</t>
        </is>
      </c>
      <c r="W29" s="2" t="inlineStr">
        <is>
          <t>wide loop</t>
        </is>
      </c>
      <c r="X29" s="5" t="inlineStr">
        <is>
          <t>arc ramps inside the loop (built: straight, square to the road, straight, turned)</t>
        </is>
      </c>
      <c r="Y29" s="2" t="n">
        <v>78.59999999999999</v>
      </c>
      <c r="Z29" s="4">
        <f>Y29/2</f>
        <v/>
      </c>
      <c r="AA29" s="2" t="n">
        <v>200</v>
      </c>
      <c r="AB29" s="2" t="n">
        <v>0</v>
      </c>
      <c r="AC29" s="2" t="n">
        <v>0</v>
      </c>
      <c r="AD29" s="2" t="inlineStr">
        <is>
          <t>-</t>
        </is>
      </c>
    </row>
    <row r="30">
      <c r="A30" s="2" t="n">
        <v>29</v>
      </c>
      <c r="B30" s="2" t="inlineStr">
        <is>
          <t>f29</t>
        </is>
      </c>
      <c r="C30" s="2" t="inlineStr">
        <is>
          <t>Challenge</t>
        </is>
      </c>
      <c r="D30" s="2" t="n">
        <v>3</v>
      </c>
      <c r="E30" s="2" t="n">
        <v>7</v>
      </c>
      <c r="F30" s="3" t="n">
        <v>0.18</v>
      </c>
      <c r="G30" s="3" t="n">
        <v>0.3</v>
      </c>
      <c r="H30" s="3">
        <f>AA30/(AA30+AB30+AC30)</f>
        <v/>
      </c>
      <c r="I30" s="4">
        <f>IF(H30&gt;=1,1,INDEX(Summary!$B$48:$B$57,MATCH(H30,Summary!$A$48:$A$57,1))+(H30-INDEX(Summary!$A$48:$A$57,MATCH(H30,Summary!$A$48:$A$57,1)))*(INDEX(Summary!$B$48:$B$57,MATCH(H30,Summary!$A$48:$A$57,1)+1)-INDEX(Summary!$B$48:$B$57,MATCH(H30,Summary!$A$48:$A$57,1)))/(INDEX(Summary!$A$48:$A$57,MATCH(H30,Summary!$A$48:$A$57,1)+1)-INDEX(Summary!$A$48:$A$57,MATCH(H30,Summary!$A$48:$A$57,1))))</f>
        <v/>
      </c>
      <c r="J30" s="2">
        <f>AND(H30&gt;=F30,H30&lt;=G30)</f>
        <v/>
      </c>
      <c r="K30" s="5" t="inlineStr">
        <is>
          <t>13x4, 13x4, 13x4, 13x4</t>
        </is>
      </c>
      <c r="L30" s="2" t="n">
        <v>4</v>
      </c>
      <c r="M30" s="2" t="n">
        <v>7</v>
      </c>
      <c r="N30" s="2" t="n">
        <v>208</v>
      </c>
      <c r="O30" s="5" t="inlineStr">
        <is>
          <t>red 34, orange 26, yellow 34, green 24, cyan 26, blue 32, purple 32</t>
        </is>
      </c>
      <c r="P30" s="2" t="n">
        <v>10</v>
      </c>
      <c r="Q30" s="2" t="n">
        <v>6</v>
      </c>
      <c r="R30" s="2" t="n">
        <v>3</v>
      </c>
      <c r="S30" s="2" t="n">
        <v>9</v>
      </c>
      <c r="T30" s="2">
        <f>SUM(P30:S30)</f>
        <v/>
      </c>
      <c r="U30" s="5" t="inlineStr">
        <is>
          <t>2 hidden buses, 2 connected pairs, tunnel (blue, 8), tunnel (red, 8)</t>
        </is>
      </c>
      <c r="V30" s="2" t="inlineStr">
        <is>
          <t>-</t>
        </is>
      </c>
      <c r="W30" s="2" t="inlineStr">
        <is>
          <t>double S</t>
        </is>
      </c>
      <c r="X30" s="5" t="inlineStr">
        <is>
          <t>very wide bleachers (built: straight, turned)</t>
        </is>
      </c>
      <c r="Y30" s="2" t="n">
        <v>123.2</v>
      </c>
      <c r="Z30" s="4">
        <f>Y30/2</f>
        <v/>
      </c>
      <c r="AA30" s="2" t="n">
        <v>56</v>
      </c>
      <c r="AB30" s="2" t="n">
        <v>18</v>
      </c>
      <c r="AC30" s="2" t="n">
        <v>126</v>
      </c>
      <c r="AD30" s="2" t="inlineStr">
        <is>
          <t>-</t>
        </is>
      </c>
    </row>
    <row r="31">
      <c r="A31" s="2" t="n">
        <v>30</v>
      </c>
      <c r="B31" s="2" t="inlineStr">
        <is>
          <t>f30</t>
        </is>
      </c>
      <c r="C31" s="2" t="inlineStr">
        <is>
          <t>Milestone</t>
        </is>
      </c>
      <c r="D31" s="2" t="n">
        <v>3</v>
      </c>
      <c r="E31" s="2" t="n">
        <v>9</v>
      </c>
      <c r="F31" s="3" t="n">
        <v>0.08</v>
      </c>
      <c r="G31" s="3" t="n">
        <v>0.15</v>
      </c>
      <c r="H31" s="3">
        <f>AA31/(AA31+AB31+AC31)</f>
        <v/>
      </c>
      <c r="I31" s="4">
        <f>IF(H31&gt;=1,1,INDEX(Summary!$B$48:$B$57,MATCH(H31,Summary!$A$48:$A$57,1))+(H31-INDEX(Summary!$A$48:$A$57,MATCH(H31,Summary!$A$48:$A$57,1)))*(INDEX(Summary!$B$48:$B$57,MATCH(H31,Summary!$A$48:$A$57,1)+1)-INDEX(Summary!$B$48:$B$57,MATCH(H31,Summary!$A$48:$A$57,1)))/(INDEX(Summary!$A$48:$A$57,MATCH(H31,Summary!$A$48:$A$57,1)+1)-INDEX(Summary!$A$48:$A$57,MATCH(H31,Summary!$A$48:$A$57,1))))</f>
        <v/>
      </c>
      <c r="J31" s="2">
        <f>AND(H31&gt;=F31,H31&lt;=G31)</f>
        <v/>
      </c>
      <c r="K31" s="5" t="inlineStr">
        <is>
          <t>8x6, 8x6, 8x6, 8x6, 6x8</t>
        </is>
      </c>
      <c r="L31" s="2" t="n">
        <v>5</v>
      </c>
      <c r="M31" s="2" t="n">
        <v>7</v>
      </c>
      <c r="N31" s="2" t="n">
        <v>240</v>
      </c>
      <c r="O31" s="5" t="inlineStr">
        <is>
          <t>red 24, orange 34, yellow 24, green 42, cyan 42, blue 42, purple 32</t>
        </is>
      </c>
      <c r="P31" s="2" t="n">
        <v>16</v>
      </c>
      <c r="Q31" s="2" t="n">
        <v>4</v>
      </c>
      <c r="R31" s="2" t="n">
        <v>4</v>
      </c>
      <c r="S31" s="2" t="n">
        <v>10</v>
      </c>
      <c r="T31" s="2">
        <f>SUM(P31:S31)</f>
        <v/>
      </c>
      <c r="U31" s="5" t="inlineStr">
        <is>
          <t>3 hidden buses, 6 connected triples, tunnel (cyan, 8), tunnel (cyan, 8)</t>
        </is>
      </c>
      <c r="V31" s="2" t="inlineStr">
        <is>
          <t>-</t>
        </is>
      </c>
      <c r="W31" s="5" t="inlineStr">
        <is>
          <t>long road with a spiral</t>
        </is>
      </c>
      <c r="X31" s="5" t="inlineStr">
        <is>
          <t>five ramps, mixed shapes (built: straight, square to the road, straight, turned)</t>
        </is>
      </c>
      <c r="Y31" s="2" t="n">
        <v>255.4</v>
      </c>
      <c r="Z31" s="4">
        <f>Y31/2</f>
        <v/>
      </c>
      <c r="AA31" s="2" t="n">
        <v>24</v>
      </c>
      <c r="AB31" s="2" t="n">
        <v>119</v>
      </c>
      <c r="AC31" s="2" t="n">
        <v>57</v>
      </c>
      <c r="AD31" s="5" t="inlineStr">
        <is>
          <t>ramp 5: 8x6 did not fit, built as 6x8</t>
        </is>
      </c>
    </row>
    <row r="32">
      <c r="A32" s="2" t="n">
        <v>31</v>
      </c>
      <c r="B32" s="2" t="inlineStr">
        <is>
          <t>f31</t>
        </is>
      </c>
      <c r="C32" s="2" t="inlineStr">
        <is>
          <t>Relax</t>
        </is>
      </c>
      <c r="D32" s="2" t="n">
        <v>2</v>
      </c>
      <c r="E32" s="2" t="n">
        <v>3</v>
      </c>
      <c r="F32" s="3" t="n">
        <v>0.55</v>
      </c>
      <c r="G32" s="3" t="n">
        <v>0.75</v>
      </c>
      <c r="H32" s="3">
        <f>AA32/(AA32+AB32+AC32)</f>
        <v/>
      </c>
      <c r="I32" s="4">
        <f>IF(H32&gt;=1,1,INDEX(Summary!$B$48:$B$57,MATCH(H32,Summary!$A$48:$A$57,1))+(H32-INDEX(Summary!$A$48:$A$57,MATCH(H32,Summary!$A$48:$A$57,1)))*(INDEX(Summary!$B$48:$B$57,MATCH(H32,Summary!$A$48:$A$57,1)+1)-INDEX(Summary!$B$48:$B$57,MATCH(H32,Summary!$A$48:$A$57,1)))/(INDEX(Summary!$A$48:$A$57,MATCH(H32,Summary!$A$48:$A$57,1)+1)-INDEX(Summary!$A$48:$A$57,MATCH(H32,Summary!$A$48:$A$57,1))))</f>
        <v/>
      </c>
      <c r="J32" s="2">
        <f>AND(H32&gt;=F32,H32&lt;=G32)</f>
        <v/>
      </c>
      <c r="K32" s="2" t="inlineStr">
        <is>
          <t>20x4, 20x4</t>
        </is>
      </c>
      <c r="L32" s="2" t="n">
        <v>2</v>
      </c>
      <c r="M32" s="2" t="n">
        <v>6</v>
      </c>
      <c r="N32" s="2" t="n">
        <v>160</v>
      </c>
      <c r="O32" s="5" t="inlineStr">
        <is>
          <t>red 20, orange 32, yellow 24, green 32, blue 20, purple 32</t>
        </is>
      </c>
      <c r="P32" s="2" t="n">
        <v>0</v>
      </c>
      <c r="Q32" s="2" t="n">
        <v>0</v>
      </c>
      <c r="R32" s="2" t="n">
        <v>8</v>
      </c>
      <c r="S32" s="2" t="n">
        <v>8</v>
      </c>
      <c r="T32" s="2">
        <f>SUM(P32:S32)</f>
        <v/>
      </c>
      <c r="U32" s="5" t="inlineStr">
        <is>
          <t>2 hidden buses</t>
        </is>
      </c>
      <c r="V32" s="2" t="inlineStr">
        <is>
          <t>-</t>
        </is>
      </c>
      <c r="W32" s="5" t="inlineStr">
        <is>
          <t>gentle almost straight road</t>
        </is>
      </c>
      <c r="X32" s="5" t="inlineStr">
        <is>
          <t>two very wide bleachers (built: straight, turned)</t>
        </is>
      </c>
      <c r="Y32" s="2" t="n">
        <v>73.2</v>
      </c>
      <c r="Z32" s="4">
        <f>Y32/2</f>
        <v/>
      </c>
      <c r="AA32" s="2" t="n">
        <v>200</v>
      </c>
      <c r="AB32" s="2" t="n">
        <v>0</v>
      </c>
      <c r="AC32" s="2" t="n">
        <v>0</v>
      </c>
      <c r="AD32" s="2" t="inlineStr">
        <is>
          <t>-</t>
        </is>
      </c>
    </row>
    <row r="33">
      <c r="A33" s="2" t="n">
        <v>32</v>
      </c>
      <c r="B33" s="2" t="inlineStr">
        <is>
          <t>f32</t>
        </is>
      </c>
      <c r="C33" s="5" t="inlineStr">
        <is>
          <t>Teach + POPUP</t>
        </is>
      </c>
      <c r="D33" s="2" t="n">
        <v>3</v>
      </c>
      <c r="E33" s="2" t="n">
        <v>4</v>
      </c>
      <c r="F33" s="3" t="n">
        <v>0.45</v>
      </c>
      <c r="G33" s="3" t="n">
        <v>0.6</v>
      </c>
      <c r="H33" s="3">
        <f>AA33/(AA33+AB33+AC33)</f>
        <v/>
      </c>
      <c r="I33" s="4">
        <f>IF(H33&gt;=1,1,INDEX(Summary!$B$48:$B$57,MATCH(H33,Summary!$A$48:$A$57,1))+(H33-INDEX(Summary!$A$48:$A$57,MATCH(H33,Summary!$A$48:$A$57,1)))*(INDEX(Summary!$B$48:$B$57,MATCH(H33,Summary!$A$48:$A$57,1)+1)-INDEX(Summary!$B$48:$B$57,MATCH(H33,Summary!$A$48:$A$57,1)))/(INDEX(Summary!$A$48:$A$57,MATCH(H33,Summary!$A$48:$A$57,1)+1)-INDEX(Summary!$A$48:$A$57,MATCH(H33,Summary!$A$48:$A$57,1))))</f>
        <v/>
      </c>
      <c r="J33" s="2">
        <f>AND(H33&gt;=F33,H33&lt;=G33)</f>
        <v/>
      </c>
      <c r="K33" s="5" t="inlineStr">
        <is>
          <t>8x7, 8x7, 8x7</t>
        </is>
      </c>
      <c r="L33" s="2" t="n">
        <v>3</v>
      </c>
      <c r="M33" s="2" t="n">
        <v>6</v>
      </c>
      <c r="N33" s="2" t="n">
        <v>168</v>
      </c>
      <c r="O33" s="5" t="inlineStr">
        <is>
          <t>red 30, orange 24, yellow 24, green 26, blue 32, purple 32</t>
        </is>
      </c>
      <c r="P33" s="2" t="n">
        <v>0</v>
      </c>
      <c r="Q33" s="2" t="n">
        <v>8</v>
      </c>
      <c r="R33" s="2" t="n">
        <v>3</v>
      </c>
      <c r="S33" s="2" t="n">
        <v>8</v>
      </c>
      <c r="T33" s="2">
        <f>SUM(P33:S33)</f>
        <v/>
      </c>
      <c r="U33" s="5" t="inlineStr">
        <is>
          <t>2 lock boxes &amp; keys</t>
        </is>
      </c>
      <c r="V33" s="5" t="inlineStr">
        <is>
          <t>Intro popup: Lock &amp; Key</t>
        </is>
      </c>
      <c r="W33" s="5" t="inlineStr">
        <is>
          <t>gentle curve</t>
        </is>
      </c>
      <c r="X33" s="5" t="inlineStr">
        <is>
          <t>L-shaped ramps (built: straight, turned)</t>
        </is>
      </c>
      <c r="Y33" s="2" t="n">
        <v>93.59999999999999</v>
      </c>
      <c r="Z33" s="4">
        <f>Y33/2</f>
        <v/>
      </c>
      <c r="AA33" s="2" t="n">
        <v>200</v>
      </c>
      <c r="AB33" s="2" t="n">
        <v>0</v>
      </c>
      <c r="AC33" s="2" t="n">
        <v>0</v>
      </c>
      <c r="AD33" s="2" t="inlineStr">
        <is>
          <t>-</t>
        </is>
      </c>
    </row>
    <row r="34">
      <c r="A34" s="2" t="n">
        <v>33</v>
      </c>
      <c r="B34" s="2" t="inlineStr">
        <is>
          <t>f33</t>
        </is>
      </c>
      <c r="C34" s="2" t="inlineStr">
        <is>
          <t>Practice</t>
        </is>
      </c>
      <c r="D34" s="2" t="n">
        <v>3</v>
      </c>
      <c r="E34" s="2" t="n">
        <v>6</v>
      </c>
      <c r="F34" s="3" t="n">
        <v>0.25</v>
      </c>
      <c r="G34" s="3" t="n">
        <v>0.4</v>
      </c>
      <c r="H34" s="3">
        <f>AA34/(AA34+AB34+AC34)</f>
        <v/>
      </c>
      <c r="I34" s="4">
        <f>IF(H34&gt;=1,1,INDEX(Summary!$B$48:$B$57,MATCH(H34,Summary!$A$48:$A$57,1))+(H34-INDEX(Summary!$A$48:$A$57,MATCH(H34,Summary!$A$48:$A$57,1)))*(INDEX(Summary!$B$48:$B$57,MATCH(H34,Summary!$A$48:$A$57,1)+1)-INDEX(Summary!$B$48:$B$57,MATCH(H34,Summary!$A$48:$A$57,1)))/(INDEX(Summary!$A$48:$A$57,MATCH(H34,Summary!$A$48:$A$57,1)+1)-INDEX(Summary!$A$48:$A$57,MATCH(H34,Summary!$A$48:$A$57,1))))</f>
        <v/>
      </c>
      <c r="J34" s="2">
        <f>AND(H34&gt;=F34,H34&lt;=G34)</f>
        <v/>
      </c>
      <c r="K34" s="5" t="inlineStr">
        <is>
          <t>10x5, 10x5, 5x10, 10x5</t>
        </is>
      </c>
      <c r="L34" s="2" t="n">
        <v>4</v>
      </c>
      <c r="M34" s="2" t="n">
        <v>7</v>
      </c>
      <c r="N34" s="2" t="n">
        <v>200</v>
      </c>
      <c r="O34" s="5" t="inlineStr">
        <is>
          <t>red 30, orange 24, yellow 28, green 32, cyan 34, blue 24, purple 28</t>
        </is>
      </c>
      <c r="P34" s="2" t="n">
        <v>2</v>
      </c>
      <c r="Q34" s="2" t="n">
        <v>10</v>
      </c>
      <c r="R34" s="2" t="n">
        <v>9</v>
      </c>
      <c r="S34" s="2" t="n">
        <v>5</v>
      </c>
      <c r="T34" s="2">
        <f>SUM(P34:S34)</f>
        <v/>
      </c>
      <c r="U34" s="5" t="inlineStr">
        <is>
          <t>2 hidden buses, 2 lock boxes &amp; keys</t>
        </is>
      </c>
      <c r="V34" s="2" t="inlineStr">
        <is>
          <t>-</t>
        </is>
      </c>
      <c r="W34" s="2" t="inlineStr">
        <is>
          <t>zigzag</t>
        </is>
      </c>
      <c r="X34" s="5" t="inlineStr">
        <is>
          <t>wide diagonal ramps (built: straight, turned)</t>
        </is>
      </c>
      <c r="Y34" s="2" t="n">
        <v>147.2</v>
      </c>
      <c r="Z34" s="4">
        <f>Y34/2</f>
        <v/>
      </c>
      <c r="AA34" s="2" t="n">
        <v>69</v>
      </c>
      <c r="AB34" s="2" t="n">
        <v>131</v>
      </c>
      <c r="AC34" s="2" t="n">
        <v>0</v>
      </c>
      <c r="AD34" s="2" t="inlineStr">
        <is>
          <t>-</t>
        </is>
      </c>
    </row>
    <row r="35">
      <c r="A35" s="2" t="n">
        <v>34</v>
      </c>
      <c r="B35" s="2" t="inlineStr">
        <is>
          <t>f34</t>
        </is>
      </c>
      <c r="C35" s="2" t="inlineStr">
        <is>
          <t>Fun</t>
        </is>
      </c>
      <c r="D35" s="2" t="n">
        <v>3</v>
      </c>
      <c r="E35" s="2" t="n">
        <v>4</v>
      </c>
      <c r="F35" s="3" t="n">
        <v>0.45</v>
      </c>
      <c r="G35" s="3" t="n">
        <v>0.6</v>
      </c>
      <c r="H35" s="3">
        <f>AA35/(AA35+AB35+AC35)</f>
        <v/>
      </c>
      <c r="I35" s="4">
        <f>IF(H35&gt;=1,1,INDEX(Summary!$B$48:$B$57,MATCH(H35,Summary!$A$48:$A$57,1))+(H35-INDEX(Summary!$A$48:$A$57,MATCH(H35,Summary!$A$48:$A$57,1)))*(INDEX(Summary!$B$48:$B$57,MATCH(H35,Summary!$A$48:$A$57,1)+1)-INDEX(Summary!$B$48:$B$57,MATCH(H35,Summary!$A$48:$A$57,1)))/(INDEX(Summary!$A$48:$A$57,MATCH(H35,Summary!$A$48:$A$57,1)+1)-INDEX(Summary!$A$48:$A$57,MATCH(H35,Summary!$A$48:$A$57,1))))</f>
        <v/>
      </c>
      <c r="J35" s="2">
        <f>AND(H35&gt;=F35,H35&lt;=G35)</f>
        <v/>
      </c>
      <c r="K35" s="5" t="inlineStr">
        <is>
          <t>8x6, 8x6, 8x6, 8x6, 8x5</t>
        </is>
      </c>
      <c r="L35" s="2" t="n">
        <v>5</v>
      </c>
      <c r="M35" s="2" t="n">
        <v>7</v>
      </c>
      <c r="N35" s="2" t="n">
        <v>232</v>
      </c>
      <c r="O35" s="5" t="inlineStr">
        <is>
          <t>red 36, orange 28, yellow 32, green 36, cyan 36, blue 32, purple 32</t>
        </is>
      </c>
      <c r="P35" s="2" t="n">
        <v>0</v>
      </c>
      <c r="Q35" s="2" t="n">
        <v>0</v>
      </c>
      <c r="R35" s="2" t="n">
        <v>11</v>
      </c>
      <c r="S35" s="2" t="n">
        <v>12</v>
      </c>
      <c r="T35" s="2">
        <f>SUM(P35:S35)</f>
        <v/>
      </c>
      <c r="U35" s="5" t="inlineStr">
        <is>
          <t>5 connected pairs, tunnel (blue, 6), tunnel (blue, 6)</t>
        </is>
      </c>
      <c r="V35" s="2" t="inlineStr">
        <is>
          <t>-</t>
        </is>
      </c>
      <c r="W35" s="5" t="inlineStr">
        <is>
          <t>gentle wave</t>
        </is>
      </c>
      <c r="X35" s="5" t="inlineStr">
        <is>
          <t>five ramps (built: straight, turned)</t>
        </is>
      </c>
      <c r="Y35" s="2" t="n">
        <v>126.9</v>
      </c>
      <c r="Z35" s="4">
        <f>Y35/2</f>
        <v/>
      </c>
      <c r="AA35" s="2" t="n">
        <v>180</v>
      </c>
      <c r="AB35" s="2" t="n">
        <v>20</v>
      </c>
      <c r="AC35" s="2" t="n">
        <v>0</v>
      </c>
      <c r="AD35" s="2" t="inlineStr">
        <is>
          <t>-</t>
        </is>
      </c>
    </row>
    <row r="36">
      <c r="A36" s="2" t="n">
        <v>35</v>
      </c>
      <c r="B36" s="2" t="inlineStr">
        <is>
          <t>f35</t>
        </is>
      </c>
      <c r="C36" s="2" t="inlineStr">
        <is>
          <t>Challenge</t>
        </is>
      </c>
      <c r="D36" s="2" t="n">
        <v>4</v>
      </c>
      <c r="E36" s="2" t="n">
        <v>8</v>
      </c>
      <c r="F36" s="3" t="n">
        <v>0.12</v>
      </c>
      <c r="G36" s="3" t="n">
        <v>0.22</v>
      </c>
      <c r="H36" s="3">
        <f>AA36/(AA36+AB36+AC36)</f>
        <v/>
      </c>
      <c r="I36" s="4">
        <f>IF(H36&gt;=1,1,INDEX(Summary!$B$48:$B$57,MATCH(H36,Summary!$A$48:$A$57,1))+(H36-INDEX(Summary!$A$48:$A$57,MATCH(H36,Summary!$A$48:$A$57,1)))*(INDEX(Summary!$B$48:$B$57,MATCH(H36,Summary!$A$48:$A$57,1)+1)-INDEX(Summary!$B$48:$B$57,MATCH(H36,Summary!$A$48:$A$57,1)))/(INDEX(Summary!$A$48:$A$57,MATCH(H36,Summary!$A$48:$A$57,1)+1)-INDEX(Summary!$A$48:$A$57,MATCH(H36,Summary!$A$48:$A$57,1))))</f>
        <v/>
      </c>
      <c r="J36" s="2">
        <f>AND(H36&gt;=F36,H36&lt;=G36)</f>
        <v/>
      </c>
      <c r="K36" s="5" t="inlineStr">
        <is>
          <t>12x5, 10x6, 5x12, 5x12</t>
        </is>
      </c>
      <c r="L36" s="2" t="n">
        <v>4</v>
      </c>
      <c r="M36" s="2" t="n">
        <v>7</v>
      </c>
      <c r="N36" s="2" t="n">
        <v>240</v>
      </c>
      <c r="O36" s="5" t="inlineStr">
        <is>
          <t>red 38, orange 30, yellow 36, green 24, cyan 40, blue 36, purple 36</t>
        </is>
      </c>
      <c r="P36" s="2" t="n">
        <v>8</v>
      </c>
      <c r="Q36" s="2" t="n">
        <v>6</v>
      </c>
      <c r="R36" s="2" t="n">
        <v>8</v>
      </c>
      <c r="S36" s="2" t="n">
        <v>9</v>
      </c>
      <c r="T36" s="2">
        <f>SUM(P36:S36)</f>
        <v/>
      </c>
      <c r="U36" s="5" t="inlineStr">
        <is>
          <t>2 hidden buses, 13 connected pairs, 2 lock boxes &amp; keys</t>
        </is>
      </c>
      <c r="V36" s="2" t="inlineStr">
        <is>
          <t>-</t>
        </is>
      </c>
      <c r="W36" s="5" t="inlineStr">
        <is>
          <t>spiral + hairpin</t>
        </is>
      </c>
      <c r="X36" s="5" t="inlineStr">
        <is>
          <t>arc ramps (built: straight, square to the road, straight, turned)</t>
        </is>
      </c>
      <c r="Y36" s="2" t="n">
        <v>225.8</v>
      </c>
      <c r="Z36" s="4">
        <f>Y36/2</f>
        <v/>
      </c>
      <c r="AA36" s="2" t="n">
        <v>30</v>
      </c>
      <c r="AB36" s="2" t="n">
        <v>170</v>
      </c>
      <c r="AC36" s="2" t="n">
        <v>0</v>
      </c>
      <c r="AD36" s="5" t="inlineStr">
        <is>
          <t>ramp 1: 10x6 did not fit, built as 12x5</t>
        </is>
      </c>
    </row>
    <row r="37">
      <c r="A37" s="2" t="n">
        <v>36</v>
      </c>
      <c r="B37" s="2" t="inlineStr">
        <is>
          <t>f36</t>
        </is>
      </c>
      <c r="C37" s="2" t="inlineStr">
        <is>
          <t>Relax</t>
        </is>
      </c>
      <c r="D37" s="2" t="n">
        <v>3</v>
      </c>
      <c r="E37" s="2" t="n">
        <v>4</v>
      </c>
      <c r="F37" s="3" t="n">
        <v>0.45</v>
      </c>
      <c r="G37" s="3" t="n">
        <v>0.6</v>
      </c>
      <c r="H37" s="3">
        <f>AA37/(AA37+AB37+AC37)</f>
        <v/>
      </c>
      <c r="I37" s="4">
        <f>IF(H37&gt;=1,1,INDEX(Summary!$B$48:$B$57,MATCH(H37,Summary!$A$48:$A$57,1))+(H37-INDEX(Summary!$A$48:$A$57,MATCH(H37,Summary!$A$48:$A$57,1)))*(INDEX(Summary!$B$48:$B$57,MATCH(H37,Summary!$A$48:$A$57,1)+1)-INDEX(Summary!$B$48:$B$57,MATCH(H37,Summary!$A$48:$A$57,1)))/(INDEX(Summary!$A$48:$A$57,MATCH(H37,Summary!$A$48:$A$57,1)+1)-INDEX(Summary!$A$48:$A$57,MATCH(H37,Summary!$A$48:$A$57,1))))</f>
        <v/>
      </c>
      <c r="J37" s="2">
        <f>AND(H37&gt;=F37,H37&lt;=G37)</f>
        <v/>
      </c>
      <c r="K37" s="5" t="inlineStr">
        <is>
          <t>10x6, 10x6, 8x8</t>
        </is>
      </c>
      <c r="L37" s="2" t="n">
        <v>3</v>
      </c>
      <c r="M37" s="2" t="n">
        <v>6</v>
      </c>
      <c r="N37" s="2" t="n">
        <v>184</v>
      </c>
      <c r="O37" s="5" t="inlineStr">
        <is>
          <t>red 30, orange 34, yellow 30, green 26, blue 32, purple 32</t>
        </is>
      </c>
      <c r="P37" s="2" t="n">
        <v>0</v>
      </c>
      <c r="Q37" s="2" t="n">
        <v>8</v>
      </c>
      <c r="R37" s="2" t="n">
        <v>8</v>
      </c>
      <c r="S37" s="2" t="n">
        <v>6</v>
      </c>
      <c r="T37" s="2">
        <f>SUM(P37:S37)</f>
        <v/>
      </c>
      <c r="U37" s="5" t="inlineStr">
        <is>
          <t>1 hidden bus, lock &amp; key</t>
        </is>
      </c>
      <c r="V37" s="2" t="inlineStr">
        <is>
          <t>-</t>
        </is>
      </c>
      <c r="W37" s="2" t="inlineStr">
        <is>
          <t>wide loop</t>
        </is>
      </c>
      <c r="X37" s="5" t="inlineStr">
        <is>
          <t>two wedges and a big square ramp (built: straight, square to the road, straight, turned)</t>
        </is>
      </c>
      <c r="Y37" s="2" t="n">
        <v>101.8</v>
      </c>
      <c r="Z37" s="4">
        <f>Y37/2</f>
        <v/>
      </c>
      <c r="AA37" s="2" t="n">
        <v>200</v>
      </c>
      <c r="AB37" s="2" t="n">
        <v>0</v>
      </c>
      <c r="AC37" s="2" t="n">
        <v>0</v>
      </c>
      <c r="AD37" s="2" t="inlineStr">
        <is>
          <t>-</t>
        </is>
      </c>
    </row>
    <row r="38">
      <c r="A38" s="2" t="n">
        <v>37</v>
      </c>
      <c r="B38" s="2" t="inlineStr">
        <is>
          <t>f37</t>
        </is>
      </c>
      <c r="C38" s="2" t="inlineStr">
        <is>
          <t>Practice</t>
        </is>
      </c>
      <c r="D38" s="2" t="n">
        <v>3</v>
      </c>
      <c r="E38" s="2" t="n">
        <v>7</v>
      </c>
      <c r="F38" s="3" t="n">
        <v>0.18</v>
      </c>
      <c r="G38" s="3" t="n">
        <v>0.3</v>
      </c>
      <c r="H38" s="3">
        <f>AA38/(AA38+AB38+AC38)</f>
        <v/>
      </c>
      <c r="I38" s="4">
        <f>IF(H38&gt;=1,1,INDEX(Summary!$B$48:$B$57,MATCH(H38,Summary!$A$48:$A$57,1))+(H38-INDEX(Summary!$A$48:$A$57,MATCH(H38,Summary!$A$48:$A$57,1)))*(INDEX(Summary!$B$48:$B$57,MATCH(H38,Summary!$A$48:$A$57,1)+1)-INDEX(Summary!$B$48:$B$57,MATCH(H38,Summary!$A$48:$A$57,1)))/(INDEX(Summary!$A$48:$A$57,MATCH(H38,Summary!$A$48:$A$57,1)+1)-INDEX(Summary!$A$48:$A$57,MATCH(H38,Summary!$A$48:$A$57,1))))</f>
        <v/>
      </c>
      <c r="J38" s="2">
        <f>AND(H38&gt;=F38,H38&lt;=G38)</f>
        <v/>
      </c>
      <c r="K38" s="5" t="inlineStr">
        <is>
          <t>4x12, 8x6, 8x6, 4x12, 8x8</t>
        </is>
      </c>
      <c r="L38" s="2" t="n">
        <v>5</v>
      </c>
      <c r="M38" s="2" t="n">
        <v>7</v>
      </c>
      <c r="N38" s="2" t="n">
        <v>256</v>
      </c>
      <c r="O38" s="5" t="inlineStr">
        <is>
          <t>red 36, orange 46, yellow 36, green 36, cyan 28, blue 30, purple 44</t>
        </is>
      </c>
      <c r="P38" s="2" t="n">
        <v>12</v>
      </c>
      <c r="Q38" s="2" t="n">
        <v>8</v>
      </c>
      <c r="R38" s="2" t="n">
        <v>5</v>
      </c>
      <c r="S38" s="2" t="n">
        <v>10</v>
      </c>
      <c r="T38" s="2">
        <f>SUM(P38:S38)</f>
        <v/>
      </c>
      <c r="U38" s="5" t="inlineStr">
        <is>
          <t>3 hidden buses, 7 connected pairs, tunnel (red, 8), tunnel (purple, 8)</t>
        </is>
      </c>
      <c r="V38" s="2" t="inlineStr">
        <is>
          <t>-</t>
        </is>
      </c>
      <c r="W38" s="5" t="inlineStr">
        <is>
          <t>double spiral</t>
        </is>
      </c>
      <c r="X38" s="5" t="inlineStr">
        <is>
          <t>mixed shapes (built: straight, square to the road, straight, turned)</t>
        </is>
      </c>
      <c r="Y38" s="2" t="n">
        <v>242.1</v>
      </c>
      <c r="Z38" s="4">
        <f>Y38/2</f>
        <v/>
      </c>
      <c r="AA38" s="2" t="n">
        <v>47</v>
      </c>
      <c r="AB38" s="2" t="n">
        <v>138</v>
      </c>
      <c r="AC38" s="2" t="n">
        <v>15</v>
      </c>
      <c r="AD38" s="2" t="inlineStr">
        <is>
          <t>-</t>
        </is>
      </c>
    </row>
    <row r="39">
      <c r="A39" s="2" t="n">
        <v>38</v>
      </c>
      <c r="B39" s="2" t="inlineStr">
        <is>
          <t>f38</t>
        </is>
      </c>
      <c r="C39" s="2" t="inlineStr">
        <is>
          <t>Challenge</t>
        </is>
      </c>
      <c r="D39" s="2" t="n">
        <v>5</v>
      </c>
      <c r="E39" s="2" t="n">
        <v>8</v>
      </c>
      <c r="F39" s="3" t="n">
        <v>0.12</v>
      </c>
      <c r="G39" s="3" t="n">
        <v>0.22</v>
      </c>
      <c r="H39" s="3">
        <f>AA39/(AA39+AB39+AC39)</f>
        <v/>
      </c>
      <c r="I39" s="4">
        <f>IF(H39&gt;=1,1,INDEX(Summary!$B$48:$B$57,MATCH(H39,Summary!$A$48:$A$57,1))+(H39-INDEX(Summary!$A$48:$A$57,MATCH(H39,Summary!$A$48:$A$57,1)))*(INDEX(Summary!$B$48:$B$57,MATCH(H39,Summary!$A$48:$A$57,1)+1)-INDEX(Summary!$B$48:$B$57,MATCH(H39,Summary!$A$48:$A$57,1)))/(INDEX(Summary!$A$48:$A$57,MATCH(H39,Summary!$A$48:$A$57,1)+1)-INDEX(Summary!$A$48:$A$57,MATCH(H39,Summary!$A$48:$A$57,1))))</f>
        <v/>
      </c>
      <c r="J39" s="2">
        <f>AND(H39&gt;=F39,H39&lt;=G39)</f>
        <v/>
      </c>
      <c r="K39" s="5" t="inlineStr">
        <is>
          <t>7x8, 8x7, 8x7, 8x7, 8x7</t>
        </is>
      </c>
      <c r="L39" s="2" t="n">
        <v>5</v>
      </c>
      <c r="M39" s="2" t="n">
        <v>8</v>
      </c>
      <c r="N39" s="2" t="n">
        <v>280</v>
      </c>
      <c r="O39" s="5" t="inlineStr">
        <is>
          <t>red 32, orange 38, yellow 26, green 34, cyan 46, blue 28, purple 44, pink 32</t>
        </is>
      </c>
      <c r="P39" s="2" t="n">
        <v>11</v>
      </c>
      <c r="Q39" s="2" t="n">
        <v>10</v>
      </c>
      <c r="R39" s="2" t="n">
        <v>7</v>
      </c>
      <c r="S39" s="2" t="n">
        <v>10</v>
      </c>
      <c r="T39" s="2">
        <f>SUM(P39:S39)</f>
        <v/>
      </c>
      <c r="U39" s="5" t="inlineStr">
        <is>
          <t>2 hidden buses, 11 connected pairs, tunnel (pink, 8), 2 lock boxes &amp; keys</t>
        </is>
      </c>
      <c r="V39" s="2" t="inlineStr">
        <is>
          <t>-</t>
        </is>
      </c>
      <c r="W39" s="5" t="inlineStr">
        <is>
          <t>long winding road</t>
        </is>
      </c>
      <c r="X39" s="5" t="inlineStr">
        <is>
          <t>five deep ramps (built: straight, turned)</t>
        </is>
      </c>
      <c r="Y39" s="2" t="n">
        <v>215.3</v>
      </c>
      <c r="Z39" s="4">
        <f>Y39/2</f>
        <v/>
      </c>
      <c r="AA39" s="2" t="n">
        <v>26</v>
      </c>
      <c r="AB39" s="2" t="n">
        <v>169</v>
      </c>
      <c r="AC39" s="2" t="n">
        <v>5</v>
      </c>
      <c r="AD39" s="2" t="inlineStr">
        <is>
          <t>-</t>
        </is>
      </c>
    </row>
    <row r="40">
      <c r="A40" s="2" t="n">
        <v>39</v>
      </c>
      <c r="B40" s="2" t="inlineStr">
        <is>
          <t>f39</t>
        </is>
      </c>
      <c r="C40" s="2" t="inlineStr">
        <is>
          <t>Fun</t>
        </is>
      </c>
      <c r="D40" s="2" t="n">
        <v>3</v>
      </c>
      <c r="E40" s="2" t="n">
        <v>5</v>
      </c>
      <c r="F40" s="3" t="n">
        <v>0.35</v>
      </c>
      <c r="G40" s="3" t="n">
        <v>0.5</v>
      </c>
      <c r="H40" s="3">
        <f>AA40/(AA40+AB40+AC40)</f>
        <v/>
      </c>
      <c r="I40" s="4">
        <f>IF(H40&gt;=1,1,INDEX(Summary!$B$48:$B$57,MATCH(H40,Summary!$A$48:$A$57,1))+(H40-INDEX(Summary!$A$48:$A$57,MATCH(H40,Summary!$A$48:$A$57,1)))*(INDEX(Summary!$B$48:$B$57,MATCH(H40,Summary!$A$48:$A$57,1)+1)-INDEX(Summary!$B$48:$B$57,MATCH(H40,Summary!$A$48:$A$57,1)))/(INDEX(Summary!$A$48:$A$57,MATCH(H40,Summary!$A$48:$A$57,1)+1)-INDEX(Summary!$A$48:$A$57,MATCH(H40,Summary!$A$48:$A$57,1))))</f>
        <v/>
      </c>
      <c r="J40" s="2">
        <f>AND(H40&gt;=F40,H40&lt;=G40)</f>
        <v/>
      </c>
      <c r="K40" s="5" t="inlineStr">
        <is>
          <t>11x6, 11x6, 11x6, 11x6</t>
        </is>
      </c>
      <c r="L40" s="2" t="n">
        <v>4</v>
      </c>
      <c r="M40" s="2" t="n">
        <v>7</v>
      </c>
      <c r="N40" s="2" t="n">
        <v>264</v>
      </c>
      <c r="O40" s="5" t="inlineStr">
        <is>
          <t>red 36, orange 36, yellow 44, green 40, cyan 32, blue 36, purple 40</t>
        </is>
      </c>
      <c r="P40" s="2" t="n">
        <v>0</v>
      </c>
      <c r="Q40" s="2" t="n">
        <v>0</v>
      </c>
      <c r="R40" s="2" t="n">
        <v>21</v>
      </c>
      <c r="S40" s="2" t="n">
        <v>8</v>
      </c>
      <c r="T40" s="2">
        <f>SUM(P40:S40)</f>
        <v/>
      </c>
      <c r="U40" s="5" t="inlineStr">
        <is>
          <t>8 connected pairs, tunnel (blue, 6), tunnel (blue, 6)</t>
        </is>
      </c>
      <c r="V40" s="2" t="inlineStr">
        <is>
          <t>-</t>
        </is>
      </c>
      <c r="W40" s="2" t="inlineStr">
        <is>
          <t>big curves</t>
        </is>
      </c>
      <c r="X40" s="5" t="inlineStr">
        <is>
          <t>wide fans in the curves (built: straight, turned)</t>
        </is>
      </c>
      <c r="Y40" s="2" t="n">
        <v>132.6</v>
      </c>
      <c r="Z40" s="4">
        <f>Y40/2</f>
        <v/>
      </c>
      <c r="AA40" s="2" t="n">
        <v>200</v>
      </c>
      <c r="AB40" s="2" t="n">
        <v>0</v>
      </c>
      <c r="AC40" s="2" t="n">
        <v>0</v>
      </c>
      <c r="AD40" s="2" t="inlineStr">
        <is>
          <t>-</t>
        </is>
      </c>
    </row>
    <row r="41">
      <c r="A41" s="2" t="n">
        <v>40</v>
      </c>
      <c r="B41" s="2" t="inlineStr">
        <is>
          <t>f40</t>
        </is>
      </c>
      <c r="C41" s="2" t="inlineStr">
        <is>
          <t>Finale</t>
        </is>
      </c>
      <c r="D41" s="2" t="n">
        <v>5</v>
      </c>
      <c r="E41" s="2" t="n">
        <v>9</v>
      </c>
      <c r="F41" s="3" t="n">
        <v>0.08</v>
      </c>
      <c r="G41" s="3" t="n">
        <v>0.15</v>
      </c>
      <c r="H41" s="3">
        <f>AA41/(AA41+AB41+AC41)</f>
        <v/>
      </c>
      <c r="I41" s="4">
        <f>IF(H41&gt;=1,1,INDEX(Summary!$B$48:$B$57,MATCH(H41,Summary!$A$48:$A$57,1))+(H41-INDEX(Summary!$A$48:$A$57,MATCH(H41,Summary!$A$48:$A$57,1)))*(INDEX(Summary!$B$48:$B$57,MATCH(H41,Summary!$A$48:$A$57,1)+1)-INDEX(Summary!$B$48:$B$57,MATCH(H41,Summary!$A$48:$A$57,1)))/(INDEX(Summary!$A$48:$A$57,MATCH(H41,Summary!$A$48:$A$57,1)+1)-INDEX(Summary!$A$48:$A$57,MATCH(H41,Summary!$A$48:$A$57,1))))</f>
        <v/>
      </c>
      <c r="J41" s="2">
        <f>AND(H41&gt;=F41,H41&lt;=G41)</f>
        <v/>
      </c>
      <c r="K41" s="5" t="inlineStr">
        <is>
          <t>8x6, 8x6, 8x8, 8x6, 8x8, 4x12</t>
        </is>
      </c>
      <c r="L41" s="2" t="n">
        <v>6</v>
      </c>
      <c r="M41" s="2" t="n">
        <v>8</v>
      </c>
      <c r="N41" s="2" t="n">
        <v>320</v>
      </c>
      <c r="O41" s="5" t="inlineStr">
        <is>
          <t>red 34, orange 40, yellow 46, green 40, cyan 44, blue 42, purple 44, pink 30</t>
        </is>
      </c>
      <c r="P41" s="2" t="n">
        <v>18</v>
      </c>
      <c r="Q41" s="2" t="n">
        <v>10</v>
      </c>
      <c r="R41" s="2" t="n">
        <v>7</v>
      </c>
      <c r="S41" s="2" t="n">
        <v>11</v>
      </c>
      <c r="T41" s="2">
        <f>SUM(P41:S41)</f>
        <v/>
      </c>
      <c r="U41" s="5" t="inlineStr">
        <is>
          <t>3 hidden buses, 4 connected pairs, 4 connected triples, tunnel (purple, 8), tunnel (purple, 8), 2 lock boxes &amp; keys</t>
        </is>
      </c>
      <c r="V41" s="2" t="inlineStr">
        <is>
          <t>-</t>
        </is>
      </c>
      <c r="W41" s="5" t="inlineStr">
        <is>
          <t>longest road, two spirals</t>
        </is>
      </c>
      <c r="X41" s="5" t="inlineStr">
        <is>
          <t>six ramps, two big ones (built: straight, turned)</t>
        </is>
      </c>
      <c r="Y41" s="2" t="n">
        <v>294.2</v>
      </c>
      <c r="Z41" s="4">
        <f>Y41/2</f>
        <v/>
      </c>
      <c r="AA41" s="2" t="n">
        <v>20</v>
      </c>
      <c r="AB41" s="2" t="n">
        <v>180</v>
      </c>
      <c r="AC41" s="2" t="n">
        <v>0</v>
      </c>
      <c r="AD41" s="5" t="inlineStr">
        <is>
          <t>ramp 3: shape perp did not fit, built as diag; ramp 6: 8x6 did not fit, built as 4x12</t>
        </is>
      </c>
    </row>
    <row r="42">
      <c r="A42" s="6" t="inlineStr">
        <is>
          <t>Total</t>
        </is>
      </c>
      <c r="J42" s="6">
        <f>COUNTIF(J2:J41,TRUE)&amp;" / 40"</f>
        <v/>
      </c>
      <c r="N42" s="7">
        <f>SUM(N2:N41)</f>
        <v/>
      </c>
      <c r="T42" s="7">
        <f>SUM(T2:T41)</f>
        <v/>
      </c>
      <c r="Y42" s="8">
        <f>SUM(Y2:Y41)</f>
        <v/>
      </c>
      <c r="Z42" s="8">
        <f>SUM(Z2:Z41)</f>
        <v/>
      </c>
      <c r="AA42" s="7">
        <f>SUM(AA2:AA41)</f>
        <v/>
      </c>
      <c r="AB42" s="7">
        <f>SUM(AB2:AB41)</f>
        <v/>
      </c>
      <c r="AC42" s="7">
        <f>SUM(AC2:AC41)</f>
        <v/>
      </c>
    </row>
    <row r="44">
      <c r="A44" s="9" t="inlineStr">
        <is>
          <t>Target diff and band: the design table (random-bot win rate band per difficulty: 1-2 &gt;= 70%, 3: 55-75%, 4: 45-60%, 5: 35-50%, 6: 25-40%, 7: 18-30%, 8: 12-22%, 9: 8-15%).</t>
        </is>
      </c>
    </row>
    <row r="45">
      <c r="A45" s="9" t="inlineStr">
        <is>
          <t>Random bot: 200 games per level (seeds 1000-1199), a uniformly random legal send every 0.4 s whenever the road counter is below 5. Win rate = wins / games.</t>
        </is>
      </c>
    </row>
    <row r="46">
      <c r="A46" s="9" t="inlineStr">
        <is>
          <t>Random fails: a returning bus found no free bay. Unfinished: no result after 1500 game seconds - the bot kept re-sending buses that could not fill, so the road never had room for the rest (a player who waits can always go on). Unfinished games count as not won.</t>
        </is>
      </c>
    </row>
    <row r="47">
      <c r="A47" s="9" t="inlineStr">
        <is>
          <t>Measured diff: the win rate placed on the difficulty scale on the Summary sheet (straight-line between band centres).</t>
        </is>
      </c>
    </row>
    <row r="48">
      <c r="A48" s="9" t="inlineStr">
        <is>
          <t>Greedy 1x: game seconds for the greedy bot (always sends the bus with the most matching stickmen at the fronts, waits when nothing matches). 2x = the same game at double speed.</t>
        </is>
      </c>
    </row>
    <row r="49">
      <c r="A49" s="9" t="inlineStr">
        <is>
          <t>Levels 1-5 cannot be lost (no fail before level 6): each was played 1000 times by the random bot and 6 times by an adversarial bot without a loss. That puts level 4 above its band (55-75%).</t>
        </is>
      </c>
    </row>
    <row r="50">
      <c r="A50" s="9" t="inlineStr">
        <is>
          <t>Lanes: queue lanes (2-5). Challenge, Milestone, Finale and Practice levels must land in their band; Relax, Fun and Teach levels may be easier.</t>
        </is>
      </c>
    </row>
    <row r="51">
      <c r="A51" s="9" t="inlineStr">
        <is>
          <t>Out of band, closest version kept: f06 (98.5%, band 35-50%), f08 (92.0%, band 35-50%), f10 (60.0%, band 25-40%), f12 (61.5%, band 25-40%). Small 3-lane levels: stickman order, bus order / sizes and blocker placement alone cannot make a random player fail that often under the current rules.</t>
        </is>
      </c>
    </row>
  </sheetData>
  <conditionalFormatting sqref="J2:J41">
    <cfRule type="cellIs" priority="1" operator="equal" dxfId="0">
      <formula>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0" customWidth="1" min="4" max="4"/>
  </cols>
  <sheetData>
    <row r="1">
      <c r="A1" s="10" t="inlineStr">
        <is>
          <t>Level</t>
        </is>
      </c>
      <c r="B1" s="10" t="inlineStr">
        <is>
          <t>Target diff</t>
        </is>
      </c>
      <c r="C1" s="10" t="inlineStr">
        <is>
          <t>Measured diff</t>
        </is>
      </c>
      <c r="D1" s="10" t="inlineStr">
        <is>
          <t>Stickmen</t>
        </is>
      </c>
    </row>
    <row r="2">
      <c r="A2" s="11">
        <f>Funnel!A2</f>
        <v/>
      </c>
      <c r="B2" s="11">
        <f>Funnel!E2</f>
        <v/>
      </c>
      <c r="C2" s="12">
        <f>Funnel!I2</f>
        <v/>
      </c>
      <c r="D2" s="11">
        <f>Funnel!N2</f>
        <v/>
      </c>
    </row>
    <row r="3">
      <c r="A3" s="11">
        <f>Funnel!A3</f>
        <v/>
      </c>
      <c r="B3" s="11">
        <f>Funnel!E3</f>
        <v/>
      </c>
      <c r="C3" s="12">
        <f>Funnel!I3</f>
        <v/>
      </c>
      <c r="D3" s="11">
        <f>Funnel!N3</f>
        <v/>
      </c>
    </row>
    <row r="4">
      <c r="A4" s="11">
        <f>Funnel!A4</f>
        <v/>
      </c>
      <c r="B4" s="11">
        <f>Funnel!E4</f>
        <v/>
      </c>
      <c r="C4" s="12">
        <f>Funnel!I4</f>
        <v/>
      </c>
      <c r="D4" s="11">
        <f>Funnel!N4</f>
        <v/>
      </c>
    </row>
    <row r="5">
      <c r="A5" s="11">
        <f>Funnel!A5</f>
        <v/>
      </c>
      <c r="B5" s="11">
        <f>Funnel!E5</f>
        <v/>
      </c>
      <c r="C5" s="12">
        <f>Funnel!I5</f>
        <v/>
      </c>
      <c r="D5" s="11">
        <f>Funnel!N5</f>
        <v/>
      </c>
    </row>
    <row r="6">
      <c r="A6" s="11">
        <f>Funnel!A6</f>
        <v/>
      </c>
      <c r="B6" s="11">
        <f>Funnel!E6</f>
        <v/>
      </c>
      <c r="C6" s="12">
        <f>Funnel!I6</f>
        <v/>
      </c>
      <c r="D6" s="11">
        <f>Funnel!N6</f>
        <v/>
      </c>
    </row>
    <row r="7">
      <c r="A7" s="11">
        <f>Funnel!A7</f>
        <v/>
      </c>
      <c r="B7" s="11">
        <f>Funnel!E7</f>
        <v/>
      </c>
      <c r="C7" s="12">
        <f>Funnel!I7</f>
        <v/>
      </c>
      <c r="D7" s="11">
        <f>Funnel!N7</f>
        <v/>
      </c>
    </row>
    <row r="8">
      <c r="A8" s="11">
        <f>Funnel!A8</f>
        <v/>
      </c>
      <c r="B8" s="11">
        <f>Funnel!E8</f>
        <v/>
      </c>
      <c r="C8" s="12">
        <f>Funnel!I8</f>
        <v/>
      </c>
      <c r="D8" s="11">
        <f>Funnel!N8</f>
        <v/>
      </c>
    </row>
    <row r="9">
      <c r="A9" s="11">
        <f>Funnel!A9</f>
        <v/>
      </c>
      <c r="B9" s="11">
        <f>Funnel!E9</f>
        <v/>
      </c>
      <c r="C9" s="12">
        <f>Funnel!I9</f>
        <v/>
      </c>
      <c r="D9" s="11">
        <f>Funnel!N9</f>
        <v/>
      </c>
    </row>
    <row r="10">
      <c r="A10" s="11">
        <f>Funnel!A10</f>
        <v/>
      </c>
      <c r="B10" s="11">
        <f>Funnel!E10</f>
        <v/>
      </c>
      <c r="C10" s="12">
        <f>Funnel!I10</f>
        <v/>
      </c>
      <c r="D10" s="11">
        <f>Funnel!N10</f>
        <v/>
      </c>
    </row>
    <row r="11">
      <c r="A11" s="11">
        <f>Funnel!A11</f>
        <v/>
      </c>
      <c r="B11" s="11">
        <f>Funnel!E11</f>
        <v/>
      </c>
      <c r="C11" s="12">
        <f>Funnel!I11</f>
        <v/>
      </c>
      <c r="D11" s="11">
        <f>Funnel!N11</f>
        <v/>
      </c>
    </row>
    <row r="12">
      <c r="A12" s="11">
        <f>Funnel!A12</f>
        <v/>
      </c>
      <c r="B12" s="11">
        <f>Funnel!E12</f>
        <v/>
      </c>
      <c r="C12" s="12">
        <f>Funnel!I12</f>
        <v/>
      </c>
      <c r="D12" s="11">
        <f>Funnel!N12</f>
        <v/>
      </c>
    </row>
    <row r="13">
      <c r="A13" s="11">
        <f>Funnel!A13</f>
        <v/>
      </c>
      <c r="B13" s="11">
        <f>Funnel!E13</f>
        <v/>
      </c>
      <c r="C13" s="12">
        <f>Funnel!I13</f>
        <v/>
      </c>
      <c r="D13" s="11">
        <f>Funnel!N13</f>
        <v/>
      </c>
    </row>
    <row r="14">
      <c r="A14" s="11">
        <f>Funnel!A14</f>
        <v/>
      </c>
      <c r="B14" s="11">
        <f>Funnel!E14</f>
        <v/>
      </c>
      <c r="C14" s="12">
        <f>Funnel!I14</f>
        <v/>
      </c>
      <c r="D14" s="11">
        <f>Funnel!N14</f>
        <v/>
      </c>
    </row>
    <row r="15">
      <c r="A15" s="11">
        <f>Funnel!A15</f>
        <v/>
      </c>
      <c r="B15" s="11">
        <f>Funnel!E15</f>
        <v/>
      </c>
      <c r="C15" s="12">
        <f>Funnel!I15</f>
        <v/>
      </c>
      <c r="D15" s="11">
        <f>Funnel!N15</f>
        <v/>
      </c>
    </row>
    <row r="16">
      <c r="A16" s="11">
        <f>Funnel!A16</f>
        <v/>
      </c>
      <c r="B16" s="11">
        <f>Funnel!E16</f>
        <v/>
      </c>
      <c r="C16" s="12">
        <f>Funnel!I16</f>
        <v/>
      </c>
      <c r="D16" s="11">
        <f>Funnel!N16</f>
        <v/>
      </c>
    </row>
    <row r="17">
      <c r="A17" s="11">
        <f>Funnel!A17</f>
        <v/>
      </c>
      <c r="B17" s="11">
        <f>Funnel!E17</f>
        <v/>
      </c>
      <c r="C17" s="12">
        <f>Funnel!I17</f>
        <v/>
      </c>
      <c r="D17" s="11">
        <f>Funnel!N17</f>
        <v/>
      </c>
    </row>
    <row r="18">
      <c r="A18" s="11">
        <f>Funnel!A18</f>
        <v/>
      </c>
      <c r="B18" s="11">
        <f>Funnel!E18</f>
        <v/>
      </c>
      <c r="C18" s="12">
        <f>Funnel!I18</f>
        <v/>
      </c>
      <c r="D18" s="11">
        <f>Funnel!N18</f>
        <v/>
      </c>
    </row>
    <row r="19">
      <c r="A19" s="11">
        <f>Funnel!A19</f>
        <v/>
      </c>
      <c r="B19" s="11">
        <f>Funnel!E19</f>
        <v/>
      </c>
      <c r="C19" s="12">
        <f>Funnel!I19</f>
        <v/>
      </c>
      <c r="D19" s="11">
        <f>Funnel!N19</f>
        <v/>
      </c>
    </row>
    <row r="20">
      <c r="A20" s="11">
        <f>Funnel!A20</f>
        <v/>
      </c>
      <c r="B20" s="11">
        <f>Funnel!E20</f>
        <v/>
      </c>
      <c r="C20" s="12">
        <f>Funnel!I20</f>
        <v/>
      </c>
      <c r="D20" s="11">
        <f>Funnel!N20</f>
        <v/>
      </c>
    </row>
    <row r="21">
      <c r="A21" s="11">
        <f>Funnel!A21</f>
        <v/>
      </c>
      <c r="B21" s="11">
        <f>Funnel!E21</f>
        <v/>
      </c>
      <c r="C21" s="12">
        <f>Funnel!I21</f>
        <v/>
      </c>
      <c r="D21" s="11">
        <f>Funnel!N21</f>
        <v/>
      </c>
    </row>
    <row r="22">
      <c r="A22" s="11">
        <f>Funnel!A22</f>
        <v/>
      </c>
      <c r="B22" s="11">
        <f>Funnel!E22</f>
        <v/>
      </c>
      <c r="C22" s="12">
        <f>Funnel!I22</f>
        <v/>
      </c>
      <c r="D22" s="11">
        <f>Funnel!N22</f>
        <v/>
      </c>
    </row>
    <row r="23">
      <c r="A23" s="11">
        <f>Funnel!A23</f>
        <v/>
      </c>
      <c r="B23" s="11">
        <f>Funnel!E23</f>
        <v/>
      </c>
      <c r="C23" s="12">
        <f>Funnel!I23</f>
        <v/>
      </c>
      <c r="D23" s="11">
        <f>Funnel!N23</f>
        <v/>
      </c>
    </row>
    <row r="24">
      <c r="A24" s="11">
        <f>Funnel!A24</f>
        <v/>
      </c>
      <c r="B24" s="11">
        <f>Funnel!E24</f>
        <v/>
      </c>
      <c r="C24" s="12">
        <f>Funnel!I24</f>
        <v/>
      </c>
      <c r="D24" s="11">
        <f>Funnel!N24</f>
        <v/>
      </c>
    </row>
    <row r="25">
      <c r="A25" s="11">
        <f>Funnel!A25</f>
        <v/>
      </c>
      <c r="B25" s="11">
        <f>Funnel!E25</f>
        <v/>
      </c>
      <c r="C25" s="12">
        <f>Funnel!I25</f>
        <v/>
      </c>
      <c r="D25" s="11">
        <f>Funnel!N25</f>
        <v/>
      </c>
    </row>
    <row r="26">
      <c r="A26" s="11">
        <f>Funnel!A26</f>
        <v/>
      </c>
      <c r="B26" s="11">
        <f>Funnel!E26</f>
        <v/>
      </c>
      <c r="C26" s="12">
        <f>Funnel!I26</f>
        <v/>
      </c>
      <c r="D26" s="11">
        <f>Funnel!N26</f>
        <v/>
      </c>
    </row>
    <row r="27">
      <c r="A27" s="11">
        <f>Funnel!A27</f>
        <v/>
      </c>
      <c r="B27" s="11">
        <f>Funnel!E27</f>
        <v/>
      </c>
      <c r="C27" s="12">
        <f>Funnel!I27</f>
        <v/>
      </c>
      <c r="D27" s="11">
        <f>Funnel!N27</f>
        <v/>
      </c>
    </row>
    <row r="28">
      <c r="A28" s="11">
        <f>Funnel!A28</f>
        <v/>
      </c>
      <c r="B28" s="11">
        <f>Funnel!E28</f>
        <v/>
      </c>
      <c r="C28" s="12">
        <f>Funnel!I28</f>
        <v/>
      </c>
      <c r="D28" s="11">
        <f>Funnel!N28</f>
        <v/>
      </c>
    </row>
    <row r="29">
      <c r="A29" s="11">
        <f>Funnel!A29</f>
        <v/>
      </c>
      <c r="B29" s="11">
        <f>Funnel!E29</f>
        <v/>
      </c>
      <c r="C29" s="12">
        <f>Funnel!I29</f>
        <v/>
      </c>
      <c r="D29" s="11">
        <f>Funnel!N29</f>
        <v/>
      </c>
    </row>
    <row r="30">
      <c r="A30" s="11">
        <f>Funnel!A30</f>
        <v/>
      </c>
      <c r="B30" s="11">
        <f>Funnel!E30</f>
        <v/>
      </c>
      <c r="C30" s="12">
        <f>Funnel!I30</f>
        <v/>
      </c>
      <c r="D30" s="11">
        <f>Funnel!N30</f>
        <v/>
      </c>
    </row>
    <row r="31">
      <c r="A31" s="11">
        <f>Funnel!A31</f>
        <v/>
      </c>
      <c r="B31" s="11">
        <f>Funnel!E31</f>
        <v/>
      </c>
      <c r="C31" s="12">
        <f>Funnel!I31</f>
        <v/>
      </c>
      <c r="D31" s="11">
        <f>Funnel!N31</f>
        <v/>
      </c>
    </row>
    <row r="32">
      <c r="A32" s="11">
        <f>Funnel!A32</f>
        <v/>
      </c>
      <c r="B32" s="11">
        <f>Funnel!E32</f>
        <v/>
      </c>
      <c r="C32" s="12">
        <f>Funnel!I32</f>
        <v/>
      </c>
      <c r="D32" s="11">
        <f>Funnel!N32</f>
        <v/>
      </c>
    </row>
    <row r="33">
      <c r="A33" s="11">
        <f>Funnel!A33</f>
        <v/>
      </c>
      <c r="B33" s="11">
        <f>Funnel!E33</f>
        <v/>
      </c>
      <c r="C33" s="12">
        <f>Funnel!I33</f>
        <v/>
      </c>
      <c r="D33" s="11">
        <f>Funnel!N33</f>
        <v/>
      </c>
    </row>
    <row r="34">
      <c r="A34" s="11">
        <f>Funnel!A34</f>
        <v/>
      </c>
      <c r="B34" s="11">
        <f>Funnel!E34</f>
        <v/>
      </c>
      <c r="C34" s="12">
        <f>Funnel!I34</f>
        <v/>
      </c>
      <c r="D34" s="11">
        <f>Funnel!N34</f>
        <v/>
      </c>
    </row>
    <row r="35">
      <c r="A35" s="11">
        <f>Funnel!A35</f>
        <v/>
      </c>
      <c r="B35" s="11">
        <f>Funnel!E35</f>
        <v/>
      </c>
      <c r="C35" s="12">
        <f>Funnel!I35</f>
        <v/>
      </c>
      <c r="D35" s="11">
        <f>Funnel!N35</f>
        <v/>
      </c>
    </row>
    <row r="36">
      <c r="A36" s="11">
        <f>Funnel!A36</f>
        <v/>
      </c>
      <c r="B36" s="11">
        <f>Funnel!E36</f>
        <v/>
      </c>
      <c r="C36" s="12">
        <f>Funnel!I36</f>
        <v/>
      </c>
      <c r="D36" s="11">
        <f>Funnel!N36</f>
        <v/>
      </c>
    </row>
    <row r="37">
      <c r="A37" s="11">
        <f>Funnel!A37</f>
        <v/>
      </c>
      <c r="B37" s="11">
        <f>Funnel!E37</f>
        <v/>
      </c>
      <c r="C37" s="12">
        <f>Funnel!I37</f>
        <v/>
      </c>
      <c r="D37" s="11">
        <f>Funnel!N37</f>
        <v/>
      </c>
    </row>
    <row r="38">
      <c r="A38" s="11">
        <f>Funnel!A38</f>
        <v/>
      </c>
      <c r="B38" s="11">
        <f>Funnel!E38</f>
        <v/>
      </c>
      <c r="C38" s="12">
        <f>Funnel!I38</f>
        <v/>
      </c>
      <c r="D38" s="11">
        <f>Funnel!N38</f>
        <v/>
      </c>
    </row>
    <row r="39">
      <c r="A39" s="11">
        <f>Funnel!A39</f>
        <v/>
      </c>
      <c r="B39" s="11">
        <f>Funnel!E39</f>
        <v/>
      </c>
      <c r="C39" s="12">
        <f>Funnel!I39</f>
        <v/>
      </c>
      <c r="D39" s="11">
        <f>Funnel!N39</f>
        <v/>
      </c>
    </row>
    <row r="40">
      <c r="A40" s="11">
        <f>Funnel!A40</f>
        <v/>
      </c>
      <c r="B40" s="11">
        <f>Funnel!E40</f>
        <v/>
      </c>
      <c r="C40" s="12">
        <f>Funnel!I40</f>
        <v/>
      </c>
      <c r="D40" s="11">
        <f>Funnel!N40</f>
        <v/>
      </c>
    </row>
    <row r="41">
      <c r="A41" s="11">
        <f>Funnel!A41</f>
        <v/>
      </c>
      <c r="B41" s="11">
        <f>Funnel!E41</f>
        <v/>
      </c>
      <c r="C41" s="12">
        <f>Funnel!I41</f>
        <v/>
      </c>
      <c r="D41" s="11">
        <f>Funnel!N41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46" customWidth="1" min="4" max="4"/>
  </cols>
  <sheetData>
    <row r="1">
      <c r="A1" s="13" t="inlineStr">
        <is>
          <t>Match Express - 40-level funnel</t>
        </is>
      </c>
    </row>
    <row r="3">
      <c r="A3" s="10" t="inlineStr">
        <is>
          <t>Playtime (greedy bot)</t>
        </is>
      </c>
      <c r="B3" s="10" t="inlineStr">
        <is>
          <t>Seconds</t>
        </is>
      </c>
      <c r="C3" s="10" t="inlineStr">
        <is>
          <t>Minutes</t>
        </is>
      </c>
      <c r="D3" s="10" t="inlineStr">
        <is>
          <t>Note</t>
        </is>
      </c>
    </row>
    <row r="4">
      <c r="A4" s="11" t="inlineStr">
        <is>
          <t>Total, all 40 levels, at 1x</t>
        </is>
      </c>
      <c r="B4" s="14">
        <f>SUM(Funnel!Y2:Y41)</f>
        <v/>
      </c>
      <c r="C4" s="12">
        <f>B4/60</f>
        <v/>
      </c>
      <c r="D4" s="11" t="inlineStr">
        <is>
          <t>Game time of the greedy bot (a player who never waits needlessly)</t>
        </is>
      </c>
    </row>
    <row r="5">
      <c r="A5" s="11" t="inlineStr">
        <is>
          <t>Total, all 40 levels, at 2x</t>
        </is>
      </c>
      <c r="B5" s="14">
        <f>SUM(Funnel!Z2:Z41)</f>
        <v/>
      </c>
      <c r="C5" s="12">
        <f>B5/60</f>
        <v/>
      </c>
      <c r="D5" s="11" t="inlineStr">
        <is>
          <t>Target: at least 35 minutes at 2x</t>
        </is>
      </c>
    </row>
    <row r="6">
      <c r="A6" s="11" t="inlineStr">
        <is>
          <t>Meets the 35-minute target at 2x</t>
        </is>
      </c>
      <c r="B6" s="11">
        <f>C5&gt;=35</f>
        <v/>
      </c>
      <c r="C6" s="11" t="inlineStr"/>
      <c r="D6" s="11" t="inlineStr"/>
    </row>
    <row r="8">
      <c r="A8" s="10" t="inlineStr">
        <is>
          <t>First session estimate (levels 1-12)</t>
        </is>
      </c>
      <c r="B8" s="10" t="inlineStr">
        <is>
          <t>Seconds</t>
        </is>
      </c>
      <c r="C8" s="10" t="inlineStr">
        <is>
          <t>Minutes</t>
        </is>
      </c>
      <c r="D8" s="10" t="inlineStr">
        <is>
          <t>Note</t>
        </is>
      </c>
    </row>
    <row r="9">
      <c r="A9" s="11" t="inlineStr">
        <is>
          <t>Levels 1-12 at 1x</t>
        </is>
      </c>
      <c r="B9" s="14">
        <f>SUM(Funnel!Y2:Y13)</f>
        <v/>
      </c>
      <c r="C9" s="12">
        <f>B9/60</f>
        <v/>
      </c>
      <c r="D9" s="11" t="inlineStr">
        <is>
          <t>Greedy play: the fastest clean run</t>
        </is>
      </c>
    </row>
    <row r="10">
      <c r="A10" s="11" t="inlineStr">
        <is>
          <t>Levels 1-12 at 2x</t>
        </is>
      </c>
      <c r="B10" s="14">
        <f>SUM(Funnel!Z2:Z13)</f>
        <v/>
      </c>
      <c r="C10" s="12">
        <f>B10/60</f>
        <v/>
      </c>
      <c r="D10" s="11" t="inlineStr"/>
    </row>
    <row r="11">
      <c r="A11" s="11" t="inlineStr">
        <is>
          <t>Levels 1-12 at 1x, with menus and retries</t>
        </is>
      </c>
      <c r="B11" s="14">
        <f>B9*B12</f>
        <v/>
      </c>
      <c r="C11" s="12">
        <f>B11/60</f>
        <v/>
      </c>
      <c r="D11" s="11" t="inlineStr">
        <is>
          <t>Greedy time times the factor below</t>
        </is>
      </c>
    </row>
    <row r="12">
      <c r="A12" s="11" t="inlineStr">
        <is>
          <t>Factor for a first-time player (assumption)</t>
        </is>
      </c>
      <c r="B12" s="15" t="n">
        <v>1.5</v>
      </c>
      <c r="C12" s="11" t="inlineStr"/>
      <c r="D12" s="11" t="inlineStr">
        <is>
          <t>Assumption, edit to taste: popups, tutorials, thinking and the odd retry</t>
        </is>
      </c>
    </row>
    <row r="14">
      <c r="A14" s="10" t="inlineStr">
        <is>
          <t>Blocker introductions</t>
        </is>
      </c>
      <c r="B14" s="10" t="inlineStr">
        <is>
          <t>Level</t>
        </is>
      </c>
      <c r="C14" s="10" t="inlineStr"/>
      <c r="D14" s="10" t="inlineStr">
        <is>
          <t>How it is introduced</t>
        </is>
      </c>
    </row>
    <row r="15">
      <c r="A15" s="11" t="inlineStr">
        <is>
          <t>Hidden Bus</t>
        </is>
      </c>
      <c r="B15" s="11" t="n">
        <v>7</v>
      </c>
      <c r="C15" s="11" t="inlineStr"/>
      <c r="D15" s="11" t="inlineStr">
        <is>
          <t>Intro popup (first appearance only)</t>
        </is>
      </c>
    </row>
    <row r="16">
      <c r="A16" s="11" t="inlineStr">
        <is>
          <t>Connected Buses (pairs)</t>
        </is>
      </c>
      <c r="B16" s="11" t="n">
        <v>13</v>
      </c>
      <c r="C16" s="11" t="inlineStr"/>
      <c r="D16" s="11" t="inlineStr">
        <is>
          <t>Intro popup (first appearance only)</t>
        </is>
      </c>
    </row>
    <row r="17">
      <c r="A17" s="11" t="inlineStr">
        <is>
          <t>Hidden Bus + Connected (first combination)</t>
        </is>
      </c>
      <c r="B17" s="11" t="n">
        <v>16</v>
      </c>
      <c r="C17" s="11" t="inlineStr"/>
      <c r="D17" s="11" t="inlineStr">
        <is>
          <t>No popup</t>
        </is>
      </c>
    </row>
    <row r="18">
      <c r="A18" s="11" t="inlineStr">
        <is>
          <t>Connected triple</t>
        </is>
      </c>
      <c r="B18" s="11" t="n">
        <v>17</v>
      </c>
      <c r="C18" s="11" t="inlineStr"/>
      <c r="D18" s="11" t="inlineStr">
        <is>
          <t>Short non-blocking hint</t>
        </is>
      </c>
    </row>
    <row r="19">
      <c r="A19" s="11" t="inlineStr">
        <is>
          <t>Colorful Tunnel</t>
        </is>
      </c>
      <c r="B19" s="11" t="n">
        <v>26</v>
      </c>
      <c r="C19" s="11" t="inlineStr"/>
      <c r="D19" s="11" t="inlineStr">
        <is>
          <t>Intro popup (first appearance only)</t>
        </is>
      </c>
    </row>
    <row r="20">
      <c r="A20" s="11" t="inlineStr">
        <is>
          <t>Lock &amp; Key</t>
        </is>
      </c>
      <c r="B20" s="11" t="n">
        <v>32</v>
      </c>
      <c r="C20" s="11" t="inlineStr"/>
      <c r="D20" s="11" t="inlineStr">
        <is>
          <t>Intro popup (first appearance only)</t>
        </is>
      </c>
    </row>
    <row r="21">
      <c r="A21" s="11" t="inlineStr">
        <is>
          <t>All four blockers together</t>
        </is>
      </c>
      <c r="B21" s="11" t="n">
        <v>40</v>
      </c>
      <c r="C21" s="11" t="inlineStr"/>
      <c r="D21" s="11" t="inlineStr">
        <is>
          <t>No popup (finale)</t>
        </is>
      </c>
    </row>
    <row r="23">
      <c r="A23" s="10" t="inlineStr">
        <is>
          <t>Levels per role</t>
        </is>
      </c>
      <c r="B23" s="10" t="inlineStr">
        <is>
          <t>Levels</t>
        </is>
      </c>
      <c r="C23" s="10" t="inlineStr"/>
      <c r="D23" s="10" t="inlineStr"/>
    </row>
    <row r="24">
      <c r="A24" s="11" t="inlineStr">
        <is>
          <t>Tutorial</t>
        </is>
      </c>
      <c r="B24" s="11">
        <f>COUNTIF(Funnel!C2:C41,"Tutorial*")</f>
        <v/>
      </c>
      <c r="C24" s="11" t="inlineStr"/>
      <c r="D24" s="11" t="inlineStr"/>
    </row>
    <row r="25">
      <c r="A25" s="11" t="inlineStr">
        <is>
          <t>Teach</t>
        </is>
      </c>
      <c r="B25" s="11">
        <f>COUNTIF(Funnel!C2:C41,"Teach*")</f>
        <v/>
      </c>
      <c r="C25" s="11" t="inlineStr"/>
      <c r="D25" s="11" t="inlineStr"/>
    </row>
    <row r="26">
      <c r="A26" s="11" t="inlineStr">
        <is>
          <t>Practice</t>
        </is>
      </c>
      <c r="B26" s="11">
        <f>COUNTIF(Funnel!C2:C41,"Practice*")</f>
        <v/>
      </c>
      <c r="C26" s="11" t="inlineStr"/>
      <c r="D26" s="11" t="inlineStr"/>
    </row>
    <row r="27">
      <c r="A27" s="11" t="inlineStr">
        <is>
          <t>Fun</t>
        </is>
      </c>
      <c r="B27" s="11">
        <f>COUNTIF(Funnel!C2:C41,"Fun*")</f>
        <v/>
      </c>
      <c r="C27" s="11" t="inlineStr"/>
      <c r="D27" s="11" t="inlineStr"/>
    </row>
    <row r="28">
      <c r="A28" s="11" t="inlineStr">
        <is>
          <t>Relax</t>
        </is>
      </c>
      <c r="B28" s="11">
        <f>COUNTIF(Funnel!C2:C41,"Relax*")</f>
        <v/>
      </c>
      <c r="C28" s="11" t="inlineStr"/>
      <c r="D28" s="11" t="inlineStr"/>
    </row>
    <row r="29">
      <c r="A29" s="11" t="inlineStr">
        <is>
          <t>Challenge</t>
        </is>
      </c>
      <c r="B29" s="11">
        <f>COUNTIF(Funnel!C2:C41,"Challenge*")</f>
        <v/>
      </c>
      <c r="C29" s="11" t="inlineStr"/>
      <c r="D29" s="11" t="inlineStr"/>
    </row>
    <row r="30">
      <c r="A30" s="11" t="inlineStr">
        <is>
          <t>Milestone</t>
        </is>
      </c>
      <c r="B30" s="11">
        <f>COUNTIF(Funnel!C2:C41,"Milestone*")</f>
        <v/>
      </c>
      <c r="C30" s="11" t="inlineStr"/>
      <c r="D30" s="11" t="inlineStr"/>
    </row>
    <row r="31">
      <c r="A31" s="11" t="inlineStr">
        <is>
          <t>Finale</t>
        </is>
      </c>
      <c r="B31" s="11">
        <f>COUNTIF(Funnel!C2:C41,"Finale*")</f>
        <v/>
      </c>
      <c r="C31" s="11" t="inlineStr"/>
      <c r="D31" s="11" t="inlineStr"/>
    </row>
    <row r="32">
      <c r="A32" s="16" t="inlineStr">
        <is>
          <t>Total</t>
        </is>
      </c>
      <c r="B32" s="16">
        <f>SUM(B24:B31)</f>
        <v/>
      </c>
      <c r="C32" s="11" t="inlineStr"/>
      <c r="D32" s="11" t="inlineStr"/>
    </row>
    <row r="34">
      <c r="A34" s="11" t="inlineStr">
        <is>
          <t>Levels in their difficulty band</t>
        </is>
      </c>
      <c r="B34" s="11">
        <f>COUNTIF(Funnel!J2:J41,TRUE)</f>
        <v/>
      </c>
      <c r="C34" s="11" t="inlineStr"/>
      <c r="D34" s="11" t="inlineStr">
        <is>
          <t>Random-bot win rate inside the target band</t>
        </is>
      </c>
    </row>
    <row r="36">
      <c r="A36" s="10" t="inlineStr">
        <is>
          <t>Levels per queue size</t>
        </is>
      </c>
      <c r="B36" s="10" t="inlineStr">
        <is>
          <t>Levels</t>
        </is>
      </c>
      <c r="C36" s="10" t="inlineStr"/>
      <c r="D36" s="10" t="inlineStr">
        <is>
          <t>Which</t>
        </is>
      </c>
    </row>
    <row r="37">
      <c r="A37" s="11" t="inlineStr">
        <is>
          <t>2 lanes</t>
        </is>
      </c>
      <c r="B37" s="11">
        <f>COUNTIF(Funnel!D2:D41,2)</f>
        <v/>
      </c>
      <c r="C37" s="11" t="inlineStr"/>
      <c r="D37" s="11" t="inlineStr">
        <is>
          <t>f01, f02, f03, f04, f05, f09, f22, f31</t>
        </is>
      </c>
    </row>
    <row r="38">
      <c r="A38" s="11" t="inlineStr">
        <is>
          <t>3 lanes</t>
        </is>
      </c>
      <c r="B38" s="11">
        <f>COUNTIF(Funnel!D2:D41,3)</f>
        <v/>
      </c>
      <c r="C38" s="11" t="inlineStr"/>
      <c r="D38" s="11" t="inlineStr">
        <is>
          <t>all others</t>
        </is>
      </c>
    </row>
    <row r="39">
      <c r="A39" s="11" t="inlineStr">
        <is>
          <t>4 lanes</t>
        </is>
      </c>
      <c r="B39" s="11">
        <f>COUNTIF(Funnel!D2:D41,4)</f>
        <v/>
      </c>
      <c r="C39" s="11" t="inlineStr"/>
      <c r="D39" s="11" t="inlineStr">
        <is>
          <t>f16, f20, f23, f35</t>
        </is>
      </c>
    </row>
    <row r="40">
      <c r="A40" s="11" t="inlineStr">
        <is>
          <t>5 lanes</t>
        </is>
      </c>
      <c r="B40" s="11">
        <f>COUNTIF(Funnel!D2:D41,5)</f>
        <v/>
      </c>
      <c r="C40" s="11" t="inlineStr"/>
      <c r="D40" s="11" t="inlineStr">
        <is>
          <t>f38, f40</t>
        </is>
      </c>
    </row>
    <row r="46">
      <c r="A46" s="6" t="inlineStr">
        <is>
          <t>Difficulty scale (used by Funnel!Measured diff)</t>
        </is>
      </c>
    </row>
    <row r="47">
      <c r="A47" s="10" t="inlineStr">
        <is>
          <t>Random win rate (band centre)</t>
        </is>
      </c>
      <c r="B47" s="10" t="inlineStr">
        <is>
          <t>Difficulty</t>
        </is>
      </c>
      <c r="C47" s="10" t="inlineStr"/>
      <c r="D47" s="10" t="inlineStr">
        <is>
          <t>Note</t>
        </is>
      </c>
    </row>
    <row r="48">
      <c r="A48" s="17" t="n">
        <v>0</v>
      </c>
      <c r="B48" s="11" t="n">
        <v>10</v>
      </c>
      <c r="C48" s="11" t="inlineStr"/>
      <c r="D48" s="11" t="inlineStr">
        <is>
          <t>No wins</t>
        </is>
      </c>
    </row>
    <row r="49">
      <c r="A49" s="17" t="n">
        <v>0.115</v>
      </c>
      <c r="B49" s="11" t="n">
        <v>9</v>
      </c>
      <c r="C49" s="11" t="inlineStr"/>
      <c r="D49" s="11" t="inlineStr">
        <is>
          <t>Centre of the target band</t>
        </is>
      </c>
    </row>
    <row r="50">
      <c r="A50" s="17" t="n">
        <v>0.17</v>
      </c>
      <c r="B50" s="11" t="n">
        <v>8</v>
      </c>
      <c r="C50" s="11" t="inlineStr"/>
      <c r="D50" s="11" t="inlineStr">
        <is>
          <t>Centre of the target band</t>
        </is>
      </c>
    </row>
    <row r="51">
      <c r="A51" s="17" t="n">
        <v>0.24</v>
      </c>
      <c r="B51" s="11" t="n">
        <v>7</v>
      </c>
      <c r="C51" s="11" t="inlineStr"/>
      <c r="D51" s="11" t="inlineStr">
        <is>
          <t>Centre of the target band</t>
        </is>
      </c>
    </row>
    <row r="52">
      <c r="A52" s="17" t="n">
        <v>0.325</v>
      </c>
      <c r="B52" s="11" t="n">
        <v>6</v>
      </c>
      <c r="C52" s="11" t="inlineStr"/>
      <c r="D52" s="11" t="inlineStr">
        <is>
          <t>Centre of the target band</t>
        </is>
      </c>
    </row>
    <row r="53">
      <c r="A53" s="17" t="n">
        <v>0.425</v>
      </c>
      <c r="B53" s="11" t="n">
        <v>5</v>
      </c>
      <c r="C53" s="11" t="inlineStr"/>
      <c r="D53" s="11" t="inlineStr">
        <is>
          <t>Centre of the target band</t>
        </is>
      </c>
    </row>
    <row r="54">
      <c r="A54" s="17" t="n">
        <v>0.525</v>
      </c>
      <c r="B54" s="11" t="n">
        <v>4</v>
      </c>
      <c r="C54" s="11" t="inlineStr"/>
      <c r="D54" s="11" t="inlineStr">
        <is>
          <t>Centre of the target band</t>
        </is>
      </c>
    </row>
    <row r="55">
      <c r="A55" s="17" t="n">
        <v>0.65</v>
      </c>
      <c r="B55" s="11" t="n">
        <v>3</v>
      </c>
      <c r="C55" s="11" t="inlineStr"/>
      <c r="D55" s="11" t="inlineStr">
        <is>
          <t>Centre of the target band</t>
        </is>
      </c>
    </row>
    <row r="56">
      <c r="A56" s="17" t="n">
        <v>0.85</v>
      </c>
      <c r="B56" s="11" t="n">
        <v>2</v>
      </c>
      <c r="C56" s="11" t="inlineStr"/>
      <c r="D56" s="11" t="inlineStr">
        <is>
          <t>Centre of the target band</t>
        </is>
      </c>
    </row>
    <row r="57">
      <c r="A57" s="17" t="n">
        <v>1</v>
      </c>
      <c r="B57" s="11" t="n">
        <v>1</v>
      </c>
      <c r="C57" s="11" t="inlineStr"/>
      <c r="D57" s="11" t="inlineStr">
        <is>
          <t>All wins</t>
        </is>
      </c>
    </row>
    <row r="58">
      <c r="A58" s="9" t="inlineStr">
        <is>
          <t>Between two rows the difficulty is read off a straight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2026-10-13T21:04:36Z</dcterms:created>
  <dcterms:modified xsi:type="dcterms:W3CDTF">2026-10-13T21:04:36Z</dcterms:modified>
</cp:coreProperties>
</file>